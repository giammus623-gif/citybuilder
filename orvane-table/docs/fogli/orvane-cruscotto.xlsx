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Obiettivi" sheetId="2" state="visible" r:id="rId4"/>
    <sheet name="Listino" sheetId="3" state="visible" r:id="rId5"/>
    <sheet name="Contatti" sheetId="4" state="visible" r:id="rId6"/>
    <sheet name="Settimana" sheetId="5" state="visible" r:id="rId7"/>
    <sheet name="Mese" sheetId="6" state="visible" r:id="rId8"/>
    <sheet name="Clienti" sheetId="7" state="visible" r:id="rId9"/>
    <sheet name="Concorrenti" sheetId="8" state="visible" r:id="rId10"/>
  </sheets>
  <definedNames>
    <definedName function="false" hidden="true" localSheetId="3" name="_xlnm._FilterDatabase" vbProcedure="false">Contatti!$A$4:$AB$104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La Parte 15.1 dà come allarme 0 proposte per due settimane: qui la soglia 0,5 colora di rosso lo zero.</t>
        </r>
      </text>
    </comment>
  </commentList>
</comments>
</file>

<file path=xl/sharedStrings.xml><?xml version="1.0" encoding="utf-8"?>
<sst xmlns="http://schemas.openxmlformats.org/spreadsheetml/2006/main" count="262" uniqueCount="223">
  <si>
    <t xml:space="preserve">Orvane Table · cruscotto del fondatore</t>
  </si>
  <si>
    <t xml:space="preserve">Generato da tools/foglio_kpi.py (npm run foglio). Riferimenti: Parti 3.6, 8.6 e 15 del prompt master.</t>
  </si>
  <si>
    <t xml:space="preserve">Come si usa</t>
  </si>
  <si>
    <t xml:space="preserve">Celle gialle</t>
  </si>
  <si>
    <t xml:space="preserve">da compilare: numeri della settimana, del mese, contatti e clienti</t>
  </si>
  <si>
    <t xml:space="preserve">Testo blu</t>
  </si>
  <si>
    <t xml:space="preserve">valori inseriti a mano: obiettivi, soglie, listino. Si possono cambiare</t>
  </si>
  <si>
    <t xml:space="preserve">Testo nero</t>
  </si>
  <si>
    <t xml:space="preserve">formule: non scriverci sopra</t>
  </si>
  <si>
    <t xml:space="preserve">Testo verde</t>
  </si>
  <si>
    <t xml:space="preserve">valori presi da un altro foglio</t>
  </si>
  <si>
    <t xml:space="preserve">Celle rosse</t>
  </si>
  <si>
    <t xml:space="preserve">sotto soglia: si corregge prima l'indicatore più a sinistra (Parte 15.5)</t>
  </si>
  <si>
    <t xml:space="preserve">Ogni venerdì (10 minuti)</t>
  </si>
  <si>
    <t xml:space="preserve">riga della settimana in Settimana; prima cella rossa da sinistra; prompt 17.14 se serve</t>
  </si>
  <si>
    <t xml:space="preserve">Ogni sera</t>
  </si>
  <si>
    <t xml:space="preserve">Contatti: filtrare la colonna Scaduta e fare le azioni del giorno</t>
  </si>
  <si>
    <t xml:space="preserve">Primo venerdì del mese</t>
  </si>
  <si>
    <t xml:space="preserve">riga del mese in Mese; se la differenza dal modello supera il 30%, aggiornare il modello (15.5)</t>
  </si>
  <si>
    <t xml:space="preserve">Regole di lettura</t>
  </si>
  <si>
    <t xml:space="preserve">una settimana bassa è rumore, due di fila sono un segnale; nessun cambio di prezzo con meno di 10 osservazioni</t>
  </si>
  <si>
    <t xml:space="preserve">Righe di esempio</t>
  </si>
  <si>
    <t xml:space="preserve">la prima riga di Contatti e di Clienti è un esempio con dati inventati: cancellatela quando inserite i vostri</t>
  </si>
  <si>
    <t xml:space="preserve">Obiettivi e soglie</t>
  </si>
  <si>
    <t xml:space="preserve">Valori della Parte 15.1 e del modello della Parte 10 (scenario realistico). Si possono cambiare: tutte le formule li leggono da qui.</t>
  </si>
  <si>
    <t xml:space="preserve">Indicatore settimanale</t>
  </si>
  <si>
    <t xml:space="preserve">Obiettivo</t>
  </si>
  <si>
    <t xml:space="preserve">Soglia di allarme</t>
  </si>
  <si>
    <t xml:space="preserve">Azione se sotto soglia</t>
  </si>
  <si>
    <t xml:space="preserve">Contatti qualificati</t>
  </si>
  <si>
    <t xml:space="preserve">Bloccare fasce orarie in agenda, allargare la lista</t>
  </si>
  <si>
    <t xml:space="preserve">Conversazioni</t>
  </si>
  <si>
    <t xml:space="preserve">Cambiare apertura (Parte 9.1)</t>
  </si>
  <si>
    <t xml:space="preserve">Demo</t>
  </si>
  <si>
    <t xml:space="preserve">Rendere la demo più veloce: pronta in 24 ore</t>
  </si>
  <si>
    <t xml:space="preserve">Proposte</t>
  </si>
  <si>
    <t xml:space="preserve">Rivedere la qualificazione (allarme: 0 per due settimane)</t>
  </si>
  <si>
    <t xml:space="preserve">Ore di vendita (massimo)</t>
  </si>
  <si>
    <t xml:space="preserve">Oltre la soglia per tre settimane: più segnalazioni e partner</t>
  </si>
  <si>
    <t xml:space="preserve">Conversione contatti-contratti</t>
  </si>
  <si>
    <t xml:space="preserve">Sotto il 2% su 60 contatti: analisi dei motivi di perdita</t>
  </si>
  <si>
    <t xml:space="preserve">Modello di riferimento, scenario realistico (Parte 10.5)</t>
  </si>
  <si>
    <t xml:space="preserve">Mese</t>
  </si>
  <si>
    <t xml:space="preserve">Periodo</t>
  </si>
  <si>
    <t xml:space="preserve">Contratti firmati</t>
  </si>
  <si>
    <t xml:space="preserve">Clienti attivi a fine mese</t>
  </si>
  <si>
    <t xml:space="preserve">Ricorrente incassato (€)</t>
  </si>
  <si>
    <t xml:space="preserve">Cassa cumulata (€)</t>
  </si>
  <si>
    <t xml:space="preserve">nov 2026</t>
  </si>
  <si>
    <t xml:space="preserve">dic 2026</t>
  </si>
  <si>
    <t xml:space="preserve">gen 2027</t>
  </si>
  <si>
    <t xml:space="preserve">feb 2027</t>
  </si>
  <si>
    <t xml:space="preserve">mar 2027</t>
  </si>
  <si>
    <t xml:space="preserve">apr 2027</t>
  </si>
  <si>
    <t xml:space="preserve">mag 2027</t>
  </si>
  <si>
    <t xml:space="preserve">giu 2027</t>
  </si>
  <si>
    <t xml:space="preserve">lug 2027</t>
  </si>
  <si>
    <t xml:space="preserve">ago 2027</t>
  </si>
  <si>
    <t xml:space="preserve">set 2027</t>
  </si>
  <si>
    <t xml:space="preserve">ott 2027</t>
  </si>
  <si>
    <t xml:space="preserve">Fonte: tabella 10.5 del prompt master; ricalcolabile con npm run modello. Se il primo incasso slitta, spostare i periodi di un mese (Parte 8.9).</t>
  </si>
  <si>
    <t xml:space="preserve">Listino</t>
  </si>
  <si>
    <t xml:space="preserve">Prezzi indicativi al netto di IVA (Parte 4.1), da validare nelle prime dieci conversazioni. Il canone non si abbassa mai (4.6).</t>
  </si>
  <si>
    <t xml:space="preserve">Pacchetto</t>
  </si>
  <si>
    <t xml:space="preserve">Setup (€)</t>
  </si>
  <si>
    <t xml:space="preserve">Canone mensile (€)</t>
  </si>
  <si>
    <t xml:space="preserve">Costo variabile stimato (€/mese)</t>
  </si>
  <si>
    <t xml:space="preserve">Minuti inclusi</t>
  </si>
  <si>
    <t xml:space="preserve">Margine mensile (€)</t>
  </si>
  <si>
    <t xml:space="preserve">Margine %</t>
  </si>
  <si>
    <t xml:space="preserve">Start</t>
  </si>
  <si>
    <t xml:space="preserve">Pro</t>
  </si>
  <si>
    <t xml:space="preserve">Premium</t>
  </si>
  <si>
    <t xml:space="preserve">Minuto extra (€)</t>
  </si>
  <si>
    <t xml:space="preserve">Sconto cliente fondatore</t>
  </si>
  <si>
    <t xml:space="preserve">Fonte: Parte 4 del prompt master; stesso listino di src/modello/listino.ts.</t>
  </si>
  <si>
    <t xml:space="preserve">Contatti</t>
  </si>
  <si>
    <t xml:space="preserve">Una riga per locale. Criteri: 1 = vero, 0 = falso, vuoto = da verificare. Punteggio ≥ 7: demo entro una settimana; 4-6: un messaggio al mese; sotto 4: archiviare (Parte 3.6).</t>
  </si>
  <si>
    <t xml:space="preserve">Locale</t>
  </si>
  <si>
    <t xml:space="preserve">Indirizzo</t>
  </si>
  <si>
    <t xml:space="preserve">Telefono</t>
  </si>
  <si>
    <t xml:space="preserve">Titolare</t>
  </si>
  <si>
    <t xml:space="preserve">Segmento</t>
  </si>
  <si>
    <t xml:space="preserve">Titolare decide da solo</t>
  </si>
  <si>
    <t xml:space="preserve">Almeno 30 coperti</t>
  </si>
  <si>
    <t xml:space="preserve">Prenotazioni per telefono</t>
  </si>
  <si>
    <t xml:space="preserve">Ammette chiamate perse</t>
  </si>
  <si>
    <t xml:space="preserve">Sito o scheda Google trascurati</t>
  </si>
  <si>
    <t xml:space="preserve">Usa WhatsApp per prenotare</t>
  </si>
  <si>
    <t xml:space="preserve">Più di 20 coperti a sera</t>
  </si>
  <si>
    <t xml:space="preserve">Tavoli o sale per gruppi</t>
  </si>
  <si>
    <t xml:space="preserve">Aperto da più di 3 anni</t>
  </si>
  <si>
    <t xml:space="preserve">Contatto personale</t>
  </si>
  <si>
    <t xml:space="preserve">Punteggio</t>
  </si>
  <si>
    <t xml:space="preserve">Da verificare</t>
  </si>
  <si>
    <t xml:space="preserve">Cosa fare</t>
  </si>
  <si>
    <t xml:space="preserve">Primo contatto</t>
  </si>
  <si>
    <t xml:space="preserve">Canale</t>
  </si>
  <si>
    <t xml:space="preserve">Esito</t>
  </si>
  <si>
    <t xml:space="preserve">Prossima azione</t>
  </si>
  <si>
    <t xml:space="preserve">Data prossima azione</t>
  </si>
  <si>
    <t xml:space="preserve">Scaduta</t>
  </si>
  <si>
    <t xml:space="preserve">Pacchetto proposto</t>
  </si>
  <si>
    <t xml:space="preserve">Canone proposto (€)</t>
  </si>
  <si>
    <t xml:space="preserve">Note</t>
  </si>
  <si>
    <t xml:space="preserve">Motivo della perdita</t>
  </si>
  <si>
    <t xml:space="preserve">Trattoria Esempio (riga di prova)</t>
  </si>
  <si>
    <t xml:space="preserve">Via Roma 1, Città</t>
  </si>
  <si>
    <t xml:space="preserve">+39 0000 000000</t>
  </si>
  <si>
    <t xml:space="preserve">Mario</t>
  </si>
  <si>
    <t xml:space="preserve">Ristorante 30-120</t>
  </si>
  <si>
    <t xml:space="preserve">Visita</t>
  </si>
  <si>
    <t xml:space="preserve">Conversazione</t>
  </si>
  <si>
    <t xml:space="preserve">Preparare demo sul suo menu</t>
  </si>
  <si>
    <t xml:space="preserve">Perde "4-5 chiamate il sabato sera" (parole del titolare)</t>
  </si>
  <si>
    <t xml:space="preserve">Settimana</t>
  </si>
  <si>
    <t xml:space="preserve">Una riga per settimana, compilata il venerdì. Rosso = sotto soglia; SEGNALE = due settimane consecutive sotto soglia nei contatti (Parte 15.5).</t>
  </si>
  <si>
    <t xml:space="preserve">N.</t>
  </si>
  <si>
    <t xml:space="preserve">Dal (lunedì)</t>
  </si>
  <si>
    <t xml:space="preserve">Contratti</t>
  </si>
  <si>
    <t xml:space="preserve">Ore di vendita</t>
  </si>
  <si>
    <t xml:space="preserve">Cassa (€)</t>
  </si>
  <si>
    <t xml:space="preserve">Conversione cumulata</t>
  </si>
  <si>
    <t xml:space="preserve">Contatti cumulati</t>
  </si>
  <si>
    <t xml:space="preserve">Segnale contatti</t>
  </si>
  <si>
    <t xml:space="preserve">Note: cosa è andato storto, tre obiettivi</t>
  </si>
  <si>
    <t xml:space="preserve">Primo venerdì del mese. Obiettivi dal foglio Obiettivi; rosso = sotto il 70% dell'obiettivo o oltre la soglia della Parte 15.2-15.3.</t>
  </si>
  <si>
    <t xml:space="preserve">Clienti a inizio mese</t>
  </si>
  <si>
    <t xml:space="preserve">Clienti persi</t>
  </si>
  <si>
    <t xml:space="preserve">Clienti a fine mese</t>
  </si>
  <si>
    <t xml:space="preserve">Costi variabili (€)</t>
  </si>
  <si>
    <t xml:space="preserve">Fatture scadute &gt; 15 gg</t>
  </si>
  <si>
    <t xml:space="preserve">Ricavo medio per cliente</t>
  </si>
  <si>
    <t xml:space="preserve">Margine lordo</t>
  </si>
  <si>
    <t xml:space="preserve">Abbandono mensile</t>
  </si>
  <si>
    <t xml:space="preserve">Clienti: % obiettivo</t>
  </si>
  <si>
    <t xml:space="preserve">Ricorrente: % obiettivo</t>
  </si>
  <si>
    <t xml:space="preserve">Cassa: % obiettivo</t>
  </si>
  <si>
    <t xml:space="preserve">Risolte senza persona</t>
  </si>
  <si>
    <t xml:space="preserve">Domande aperte</t>
  </si>
  <si>
    <t xml:space="preserve">Ore medie di correzione</t>
  </si>
  <si>
    <t xml:space="preserve">Minuti usati / inclusi</t>
  </si>
  <si>
    <t xml:space="preserve">Giorni di attivazione (media)</t>
  </si>
  <si>
    <t xml:space="preserve">Soddisfazione (0-10)</t>
  </si>
  <si>
    <t xml:space="preserve">Soglie (Parte 15.2-15.3): ricavo medio sotto 85 €; margine sotto 65%; abbandono sopra 5% (segnale se per due mesi); clienti e ricorrente sotto il 70% dell'obiettivo; cassa sotto il 60%; più di una fattura scaduta; risolte sotto 60%; più di 15 domande aperte; correzioni oltre 72 ore; minuti oltre 110%; attivazione oltre 8 giorni; soddisfazione sotto 7.</t>
  </si>
  <si>
    <t xml:space="preserve">Clienti</t>
  </si>
  <si>
    <t xml:space="preserve">Una riga per cliente attivo. Canone e minuti inclusi arrivano dal Listino. Rosso: minuti oltre il 110% o rischio alto (Parte 13.6).</t>
  </si>
  <si>
    <t xml:space="preserve">Data di attivazione</t>
  </si>
  <si>
    <t xml:space="preserve">Canone (€)</t>
  </si>
  <si>
    <t xml:space="preserve">Minuti usati nel mese</t>
  </si>
  <si>
    <t xml:space="preserve">Uso dei minuti</t>
  </si>
  <si>
    <t xml:space="preserve">Mesi consecutivi oltre limite</t>
  </si>
  <si>
    <t xml:space="preserve">Ultimo contatto</t>
  </si>
  <si>
    <t xml:space="preserve">Giorni dall'ultimo contatto</t>
  </si>
  <si>
    <t xml:space="preserve">Rischio di abbandono</t>
  </si>
  <si>
    <t xml:space="preserve">basso</t>
  </si>
  <si>
    <t xml:space="preserve">Chiamata del giorno 30</t>
  </si>
  <si>
    <t xml:space="preserve">Cliente fondatore</t>
  </si>
  <si>
    <t xml:space="preserve">Concorrenti</t>
  </si>
  <si>
    <t xml:space="preserve">Ricerca del 24/10/2026 (docs/ricerca/concorrenti.md). Aggiornare ogni trimestre e aggiungere quelli locali.</t>
  </si>
  <si>
    <t xml:space="preserve">Nome</t>
  </si>
  <si>
    <t xml:space="preserve">Cosa offre</t>
  </si>
  <si>
    <t xml:space="preserve">Prezzo</t>
  </si>
  <si>
    <t xml:space="preserve">Durata contratto</t>
  </si>
  <si>
    <t xml:space="preserve">Punto debole</t>
  </si>
  <si>
    <t xml:space="preserve">Fonte</t>
  </si>
  <si>
    <t xml:space="preserve">Verificato il</t>
  </si>
  <si>
    <t xml:space="preserve">Fonio</t>
  </si>
  <si>
    <t xml:space="preserve">Assistente telefonico AI, anche ristoranti</t>
  </si>
  <si>
    <t xml:space="preserve">Solo 119 €/mese (99 € annuale) 1.000 minuti; Team 359 €/mese; extra 0,10-0,12 €/min</t>
  </si>
  <si>
    <t xml:space="preserve">Non indicata</t>
  </si>
  <si>
    <t xml:space="preserve">Da configurare da sé, nessuna persona locale</t>
  </si>
  <si>
    <t xml:space="preserve">https://www.fonio.ai/it/prezzi/</t>
  </si>
  <si>
    <t xml:space="preserve">CloudTalk AI Receptionist</t>
  </si>
  <si>
    <t xml:space="preserve">Receptionist AI su centralino cloud</t>
  </si>
  <si>
    <t xml:space="preserve">Da 99 €/mese per 200 minuti + 25 €/utente; extra 0,50 €/min</t>
  </si>
  <si>
    <t xml:space="preserve">Non verificata</t>
  </si>
  <si>
    <t xml:space="preserve">Costo per minuto alto, generico</t>
  </si>
  <si>
    <t xml:space="preserve">https://www.cloudtalk.io/it/blog/quanto-costa-servizio-risposta-ia/</t>
  </si>
  <si>
    <t xml:space="preserve">Retell AI</t>
  </si>
  <si>
    <t xml:space="preserve">Piattaforma per agenti vocali</t>
  </si>
  <si>
    <t xml:space="preserve">0,07-0,31 $/min a consumo</t>
  </si>
  <si>
    <t xml:space="preserve">Nessun minimo</t>
  </si>
  <si>
    <t xml:space="preserve">Strumento per sviluppatori</t>
  </si>
  <si>
    <t xml:space="preserve">https://www.retellai.com/pricing</t>
  </si>
  <si>
    <t xml:space="preserve">ElevenLabs Agents</t>
  </si>
  <si>
    <t xml:space="preserve">Piattaforma vocale (nostro fornitore)</t>
  </si>
  <si>
    <t xml:space="preserve">0,08 $/min; 15 minuti gratis</t>
  </si>
  <si>
    <t xml:space="preserve">A consumo</t>
  </si>
  <si>
    <t xml:space="preserve">Fornitore, non concorrente diretto</t>
  </si>
  <si>
    <t xml:space="preserve">https://elevenlabs.io/pricing/api</t>
  </si>
  <si>
    <t xml:space="preserve">Ainora</t>
  </si>
  <si>
    <t xml:space="preserve">Receptionist AI per ristoranti</t>
  </si>
  <si>
    <t xml:space="preserve">Non pubblicato</t>
  </si>
  <si>
    <t xml:space="preserve">Dati elaborati anche negli USA di default</t>
  </si>
  <si>
    <t xml:space="preserve">https://ainora.lt/it/receptionist-ai-ristoranti</t>
  </si>
  <si>
    <t xml:space="preserve">Chiama.ai</t>
  </si>
  <si>
    <t xml:space="preserve">Centralino AI (Verona)</t>
  </si>
  <si>
    <t xml:space="preserve">Dichiarazione AI dal primo contatto: non verificato</t>
  </si>
  <si>
    <t xml:space="preserve">https://www.chiama.ai</t>
  </si>
  <si>
    <t xml:space="preserve">Cosmio</t>
  </si>
  <si>
    <t xml:space="preserve">Automazioni; receptionist AI open source</t>
  </si>
  <si>
    <t xml:space="preserve">Il receptionist si presenta con nome da persona</t>
  </si>
  <si>
    <t xml:space="preserve">https://cosmio.it</t>
  </si>
  <si>
    <t xml:space="preserve">TheFork Manager</t>
  </si>
  <si>
    <t xml:space="preserve">Prenotazioni + portale</t>
  </si>
  <si>
    <t xml:space="preserve">Non pubblicato in Italia; stima indiretta Francia ~139 €/mese + 2-4 €/coperto</t>
  </si>
  <si>
    <t xml:space="preserve">Commissione per coperto</t>
  </si>
  <si>
    <t xml:space="preserve">https://restaurant.eatapp.co/en/blog/best-restaurant-reservation-software-france</t>
  </si>
  <si>
    <t xml:space="preserve">Zenchef</t>
  </si>
  <si>
    <t xml:space="preserve">Prenotazioni, sito, CRM</t>
  </si>
  <si>
    <t xml:space="preserve">Non pubblicato; indiretto ~150 €/mese medio</t>
  </si>
  <si>
    <t xml:space="preserve">Non risponde al telefono</t>
  </si>
  <si>
    <t xml:space="preserve">https://www.businesscoot.com/en/company/zenchef</t>
  </si>
  <si>
    <t xml:space="preserve">CoverManager</t>
  </si>
  <si>
    <t xml:space="preserve">Prenotazioni e CRM</t>
  </si>
  <si>
    <t xml:space="preserve">Pensato anche per catene</t>
  </si>
  <si>
    <t xml:space="preserve">https://www.capterra.it/software/1012086/covermanager</t>
  </si>
  <si>
    <t xml:space="preserve">TeamSystem Cassa in Cloud</t>
  </si>
  <si>
    <t xml:space="preserve">Cassa e gestionale</t>
  </si>
  <si>
    <t xml:space="preserve">Non visibile; TS Scontrini + RT 30 € + IVA/mese annuale</t>
  </si>
  <si>
    <t xml:space="preserve">Annuale (TS Scontrini)</t>
  </si>
  <si>
    <t xml:space="preserve">https://www.teamsystem.com/horeca/cassa-in-cloud/prezzi/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</si>
</sst>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;\-0.0%;\-"/>
    <numFmt numFmtId="167" formatCode="#,##0&quot; €&quot;;\-#,##0&quot; €&quot;;\-"/>
    <numFmt numFmtId="168" formatCode="0"/>
    <numFmt numFmtId="169" formatCode="#,##0.00&quot; €&quot;;\-#,##0.00&quot; €&quot;;\-"/>
    <numFmt numFmtId="170" formatCode="General"/>
    <numFmt numFmtId="171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CE8C3"/>
      </patternFill>
    </fill>
    <fill>
      <patternFill patternType="solid">
        <fgColor rgb="FFF8D0CC"/>
        <bgColor rgb="FFFCE8C3"/>
      </patternFill>
    </fill>
    <fill>
      <patternFill patternType="solid">
        <fgColor rgb="FF8A2D1C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8A2D1C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FD8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D9EFD8"/>
        </patternFill>
      </fill>
    </dxf>
    <dxf>
      <fill>
        <patternFill>
          <bgColor rgb="FFFCE8C3"/>
        </patternFill>
      </fill>
    </dxf>
    <dxf>
      <fill>
        <patternFill>
          <bgColor rgb="FFE8E8E8"/>
        </patternFill>
      </fill>
    </dxf>
    <dxf>
      <fill>
        <patternFill>
          <bgColor rgb="FFF8D0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C3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FD8"/>
      <rgbColor rgb="FFFFF2A8"/>
      <rgbColor rgb="FF99CCFF"/>
      <rgbColor rgb="FFFF99CC"/>
      <rgbColor rgb="FFCC99FF"/>
      <rgbColor rgb="FFF8D0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A2D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7" t="s">
        <v>9</v>
      </c>
      <c r="B8" s="4" t="s">
        <v>10</v>
      </c>
    </row>
    <row r="9" customFormat="false" ht="15" hidden="false" customHeight="false" outlineLevel="0" collapsed="false">
      <c r="A9" s="8" t="s">
        <v>11</v>
      </c>
      <c r="B9" s="4" t="s">
        <v>12</v>
      </c>
    </row>
    <row r="10" customFormat="false" ht="15" hidden="false" customHeight="false" outlineLevel="0" collapsed="false">
      <c r="A10" s="4"/>
      <c r="B10" s="4"/>
    </row>
    <row r="11" customFormat="false" ht="15" hidden="false" customHeight="false" outlineLevel="0" collapsed="false">
      <c r="A11" s="4" t="s">
        <v>13</v>
      </c>
      <c r="B11" s="4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</row>
    <row r="14" customFormat="false" ht="15" hidden="false" customHeight="false" outlineLevel="0" collapsed="false">
      <c r="A14" s="4"/>
      <c r="B14" s="4"/>
    </row>
    <row r="15" customFormat="false" ht="15" hidden="false" customHeight="false" outlineLevel="0" collapsed="false">
      <c r="A15" s="4" t="s">
        <v>19</v>
      </c>
      <c r="B15" s="4" t="s">
        <v>20</v>
      </c>
    </row>
    <row r="16" customFormat="false" ht="15" hidden="false" customHeight="false" outlineLevel="0" collapsed="false">
      <c r="A16" s="4" t="s">
        <v>21</v>
      </c>
      <c r="B16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31.5" hidden="false" customHeight="true" outlineLevel="0" collapsed="false">
      <c r="A4" s="9" t="s">
        <v>25</v>
      </c>
      <c r="B4" s="9" t="s">
        <v>26</v>
      </c>
      <c r="C4" s="9" t="s">
        <v>27</v>
      </c>
      <c r="D4" s="9" t="s">
        <v>28</v>
      </c>
    </row>
    <row r="5" customFormat="false" ht="15" hidden="false" customHeight="false" outlineLevel="0" collapsed="false">
      <c r="A5" s="4" t="s">
        <v>29</v>
      </c>
      <c r="B5" s="10" t="n">
        <v>14</v>
      </c>
      <c r="C5" s="10" t="n">
        <v>8</v>
      </c>
      <c r="D5" s="4" t="s">
        <v>30</v>
      </c>
    </row>
    <row r="6" customFormat="false" ht="15" hidden="false" customHeight="false" outlineLevel="0" collapsed="false">
      <c r="A6" s="4" t="s">
        <v>31</v>
      </c>
      <c r="B6" s="10" t="n">
        <v>4</v>
      </c>
      <c r="C6" s="10" t="n">
        <v>2</v>
      </c>
      <c r="D6" s="4" t="s">
        <v>32</v>
      </c>
    </row>
    <row r="7" customFormat="false" ht="15" hidden="false" customHeight="false" outlineLevel="0" collapsed="false">
      <c r="A7" s="4" t="s">
        <v>33</v>
      </c>
      <c r="B7" s="10" t="n">
        <v>2</v>
      </c>
      <c r="C7" s="10" t="n">
        <v>1</v>
      </c>
      <c r="D7" s="4" t="s">
        <v>34</v>
      </c>
    </row>
    <row r="8" customFormat="false" ht="15" hidden="false" customHeight="false" outlineLevel="0" collapsed="false">
      <c r="A8" s="4" t="s">
        <v>35</v>
      </c>
      <c r="B8" s="10" t="n">
        <v>1</v>
      </c>
      <c r="C8" s="10" t="n">
        <v>0.5</v>
      </c>
      <c r="D8" s="4" t="s">
        <v>36</v>
      </c>
    </row>
    <row r="9" customFormat="false" ht="15" hidden="false" customHeight="false" outlineLevel="0" collapsed="false">
      <c r="A9" s="4" t="s">
        <v>37</v>
      </c>
      <c r="B9" s="10" t="n">
        <v>16</v>
      </c>
      <c r="C9" s="10" t="n">
        <v>20</v>
      </c>
      <c r="D9" s="4" t="s">
        <v>38</v>
      </c>
    </row>
    <row r="10" customFormat="false" ht="15" hidden="false" customHeight="false" outlineLevel="0" collapsed="false">
      <c r="A10" s="4" t="s">
        <v>39</v>
      </c>
      <c r="B10" s="11" t="n">
        <v>0.045</v>
      </c>
      <c r="C10" s="11" t="n">
        <v>0.02</v>
      </c>
      <c r="D10" s="4" t="s">
        <v>40</v>
      </c>
    </row>
    <row r="12" customFormat="false" ht="15" hidden="false" customHeight="false" outlineLevel="0" collapsed="false">
      <c r="A12" s="3" t="s">
        <v>41</v>
      </c>
    </row>
    <row r="13" customFormat="false" ht="31.5" hidden="false" customHeight="true" outlineLevel="0" collapsed="false">
      <c r="A13" s="12" t="s">
        <v>42</v>
      </c>
      <c r="B13" s="12" t="s">
        <v>43</v>
      </c>
      <c r="C13" s="12" t="s">
        <v>44</v>
      </c>
      <c r="D13" s="12" t="s">
        <v>45</v>
      </c>
      <c r="E13" s="12" t="s">
        <v>46</v>
      </c>
      <c r="F13" s="12" t="s">
        <v>47</v>
      </c>
    </row>
    <row r="14" customFormat="false" ht="15" hidden="false" customHeight="false" outlineLevel="0" collapsed="false">
      <c r="A14" s="4" t="n">
        <v>1</v>
      </c>
      <c r="B14" s="4" t="s">
        <v>48</v>
      </c>
      <c r="C14" s="6" t="n">
        <v>0</v>
      </c>
      <c r="D14" s="10" t="n">
        <v>0</v>
      </c>
      <c r="E14" s="13" t="n">
        <v>0</v>
      </c>
      <c r="F14" s="13" t="n">
        <v>0</v>
      </c>
    </row>
    <row r="15" customFormat="false" ht="15" hidden="false" customHeight="false" outlineLevel="0" collapsed="false">
      <c r="A15" s="4" t="n">
        <v>2</v>
      </c>
      <c r="B15" s="4" t="s">
        <v>49</v>
      </c>
      <c r="C15" s="6" t="n">
        <v>2</v>
      </c>
      <c r="D15" s="10" t="n">
        <v>2</v>
      </c>
      <c r="E15" s="13" t="n">
        <v>0</v>
      </c>
      <c r="F15" s="13" t="n">
        <v>158</v>
      </c>
    </row>
    <row r="16" customFormat="false" ht="15" hidden="false" customHeight="false" outlineLevel="0" collapsed="false">
      <c r="A16" s="4" t="n">
        <v>3</v>
      </c>
      <c r="B16" s="4" t="s">
        <v>50</v>
      </c>
      <c r="C16" s="6" t="n">
        <v>1</v>
      </c>
      <c r="D16" s="10" t="n">
        <v>3</v>
      </c>
      <c r="E16" s="13" t="n">
        <v>221</v>
      </c>
      <c r="F16" s="13" t="n">
        <v>544</v>
      </c>
    </row>
    <row r="17" customFormat="false" ht="15" hidden="false" customHeight="false" outlineLevel="0" collapsed="false">
      <c r="A17" s="4" t="n">
        <v>4</v>
      </c>
      <c r="B17" s="4" t="s">
        <v>51</v>
      </c>
      <c r="C17" s="6" t="n">
        <v>2</v>
      </c>
      <c r="D17" s="10" t="n">
        <v>4.9</v>
      </c>
      <c r="E17" s="13" t="n">
        <v>322</v>
      </c>
      <c r="F17" s="13" t="n">
        <v>1221</v>
      </c>
    </row>
    <row r="18" customFormat="false" ht="15" hidden="false" customHeight="false" outlineLevel="0" collapsed="false">
      <c r="A18" s="4" t="n">
        <v>5</v>
      </c>
      <c r="B18" s="4" t="s">
        <v>52</v>
      </c>
      <c r="C18" s="6" t="n">
        <v>2</v>
      </c>
      <c r="D18" s="10" t="n">
        <v>6.8</v>
      </c>
      <c r="E18" s="13" t="n">
        <v>526</v>
      </c>
      <c r="F18" s="13" t="n">
        <v>2361</v>
      </c>
    </row>
    <row r="19" customFormat="false" ht="15" hidden="false" customHeight="false" outlineLevel="0" collapsed="false">
      <c r="A19" s="4" t="n">
        <v>6</v>
      </c>
      <c r="B19" s="4" t="s">
        <v>53</v>
      </c>
      <c r="C19" s="6" t="n">
        <v>2</v>
      </c>
      <c r="D19" s="10" t="n">
        <v>8.6</v>
      </c>
      <c r="E19" s="13" t="n">
        <v>725</v>
      </c>
      <c r="F19" s="13" t="n">
        <v>3596</v>
      </c>
    </row>
    <row r="20" customFormat="false" ht="15" hidden="false" customHeight="false" outlineLevel="0" collapsed="false">
      <c r="A20" s="4" t="n">
        <v>7</v>
      </c>
      <c r="B20" s="4" t="s">
        <v>54</v>
      </c>
      <c r="C20" s="6" t="n">
        <v>3</v>
      </c>
      <c r="D20" s="10" t="n">
        <v>11.3</v>
      </c>
      <c r="E20" s="13" t="n">
        <v>917</v>
      </c>
      <c r="F20" s="13" t="n">
        <v>5126</v>
      </c>
    </row>
    <row r="21" customFormat="false" ht="15" hidden="false" customHeight="false" outlineLevel="0" collapsed="false">
      <c r="A21" s="4" t="n">
        <v>8</v>
      </c>
      <c r="B21" s="4" t="s">
        <v>55</v>
      </c>
      <c r="C21" s="6" t="n">
        <v>3</v>
      </c>
      <c r="D21" s="10" t="n">
        <v>14</v>
      </c>
      <c r="E21" s="13" t="n">
        <v>1212</v>
      </c>
      <c r="F21" s="13" t="n">
        <v>7041</v>
      </c>
    </row>
    <row r="22" customFormat="false" ht="15" hidden="false" customHeight="false" outlineLevel="0" collapsed="false">
      <c r="A22" s="4" t="n">
        <v>9</v>
      </c>
      <c r="B22" s="4" t="s">
        <v>56</v>
      </c>
      <c r="C22" s="6" t="n">
        <v>3</v>
      </c>
      <c r="D22" s="10" t="n">
        <v>16.5</v>
      </c>
      <c r="E22" s="13" t="n">
        <v>1497</v>
      </c>
      <c r="F22" s="13" t="n">
        <v>9092</v>
      </c>
    </row>
    <row r="23" customFormat="false" ht="15" hidden="false" customHeight="false" outlineLevel="0" collapsed="false">
      <c r="A23" s="4" t="n">
        <v>10</v>
      </c>
      <c r="B23" s="4" t="s">
        <v>57</v>
      </c>
      <c r="C23" s="6" t="n">
        <v>3</v>
      </c>
      <c r="D23" s="10" t="n">
        <v>19</v>
      </c>
      <c r="E23" s="13" t="n">
        <v>1773</v>
      </c>
      <c r="F23" s="13" t="n">
        <v>11275</v>
      </c>
    </row>
    <row r="24" customFormat="false" ht="15" hidden="false" customHeight="false" outlineLevel="0" collapsed="false">
      <c r="A24" s="4" t="n">
        <v>11</v>
      </c>
      <c r="B24" s="4" t="s">
        <v>58</v>
      </c>
      <c r="C24" s="6" t="n">
        <v>3</v>
      </c>
      <c r="D24" s="10" t="n">
        <v>21.5</v>
      </c>
      <c r="E24" s="13" t="n">
        <v>2042</v>
      </c>
      <c r="F24" s="13" t="n">
        <v>13587</v>
      </c>
    </row>
    <row r="25" customFormat="false" ht="15" hidden="false" customHeight="false" outlineLevel="0" collapsed="false">
      <c r="A25" s="4" t="n">
        <v>12</v>
      </c>
      <c r="B25" s="4" t="s">
        <v>59</v>
      </c>
      <c r="C25" s="6" t="n">
        <v>3</v>
      </c>
      <c r="D25" s="10" t="n">
        <v>23.8</v>
      </c>
      <c r="E25" s="13" t="n">
        <v>2302</v>
      </c>
      <c r="F25" s="13" t="n">
        <v>15964</v>
      </c>
    </row>
    <row r="26" customFormat="false" ht="15" hidden="false" customHeight="false" outlineLevel="0" collapsed="false">
      <c r="A26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1.5" hidden="false" customHeight="true" outlineLevel="0" collapsed="false">
      <c r="A4" s="9" t="s">
        <v>63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9" t="s">
        <v>69</v>
      </c>
    </row>
    <row r="5" customFormat="false" ht="15" hidden="false" customHeight="false" outlineLevel="0" collapsed="false">
      <c r="A5" s="4" t="s">
        <v>70</v>
      </c>
      <c r="B5" s="13" t="n">
        <v>290</v>
      </c>
      <c r="C5" s="13" t="n">
        <v>49</v>
      </c>
      <c r="D5" s="13" t="n">
        <v>3</v>
      </c>
      <c r="E5" s="14" t="n">
        <v>0</v>
      </c>
      <c r="F5" s="15" t="n">
        <f aca="false">C5-D5</f>
        <v>46</v>
      </c>
      <c r="G5" s="16" t="n">
        <f aca="false">IFERROR(F5/C5,0)</f>
        <v>0.938775510204082</v>
      </c>
    </row>
    <row r="6" customFormat="false" ht="15" hidden="false" customHeight="false" outlineLevel="0" collapsed="false">
      <c r="A6" s="4" t="s">
        <v>71</v>
      </c>
      <c r="B6" s="13" t="n">
        <v>790</v>
      </c>
      <c r="C6" s="13" t="n">
        <v>129</v>
      </c>
      <c r="D6" s="13" t="n">
        <v>30</v>
      </c>
      <c r="E6" s="14" t="n">
        <v>250</v>
      </c>
      <c r="F6" s="15" t="n">
        <f aca="false">C6-D6</f>
        <v>99</v>
      </c>
      <c r="G6" s="16" t="n">
        <f aca="false">IFERROR(F6/C6,0)</f>
        <v>0.767441860465116</v>
      </c>
    </row>
    <row r="7" customFormat="false" ht="15" hidden="false" customHeight="false" outlineLevel="0" collapsed="false">
      <c r="A7" s="4" t="s">
        <v>72</v>
      </c>
      <c r="B7" s="13" t="n">
        <v>1490</v>
      </c>
      <c r="C7" s="13" t="n">
        <v>219</v>
      </c>
      <c r="D7" s="13" t="n">
        <v>65</v>
      </c>
      <c r="E7" s="14" t="n">
        <v>500</v>
      </c>
      <c r="F7" s="15" t="n">
        <f aca="false">C7-D7</f>
        <v>154</v>
      </c>
      <c r="G7" s="16" t="n">
        <f aca="false">IFERROR(F7/C7,0)</f>
        <v>0.703196347031963</v>
      </c>
    </row>
    <row r="9" customFormat="false" ht="15" hidden="false" customHeight="false" outlineLevel="0" collapsed="false">
      <c r="A9" s="4" t="s">
        <v>73</v>
      </c>
      <c r="B9" s="17" t="n">
        <v>0.25</v>
      </c>
    </row>
    <row r="10" customFormat="false" ht="15" hidden="false" customHeight="false" outlineLevel="0" collapsed="false">
      <c r="A10" s="4" t="s">
        <v>74</v>
      </c>
      <c r="B10" s="11" t="n">
        <v>0.5</v>
      </c>
    </row>
    <row r="11" customFormat="false" ht="15" hidden="false" customHeight="false" outlineLevel="0" collapsed="false">
      <c r="A11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15" min="6" style="0" width="9"/>
    <col collapsed="false" customWidth="true" hidden="false" outlineLevel="0" max="17" min="16" style="0" width="10"/>
    <col collapsed="false" customWidth="true" hidden="false" outlineLevel="0" max="18" min="18" style="0" width="26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28"/>
    <col collapsed="false" customWidth="true" hidden="false" outlineLevel="0" max="23" min="23" style="0" width="13"/>
    <col collapsed="false" customWidth="true" hidden="false" outlineLevel="0" max="24" min="24" style="0" width="9"/>
    <col collapsed="false" customWidth="true" hidden="false" outlineLevel="0" max="26" min="25" style="0" width="12"/>
    <col collapsed="false" customWidth="true" hidden="false" outlineLevel="0" max="27" min="27" style="0" width="30"/>
    <col collapsed="false" customWidth="true" hidden="false" outlineLevel="0" max="28" min="28" style="0" width="22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60" hidden="false" customHeight="true" outlineLevel="0" collapsed="false">
      <c r="A4" s="9" t="s">
        <v>78</v>
      </c>
      <c r="B4" s="9" t="s">
        <v>79</v>
      </c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L4" s="9" t="s">
        <v>89</v>
      </c>
      <c r="M4" s="9" t="s">
        <v>90</v>
      </c>
      <c r="N4" s="9" t="s">
        <v>91</v>
      </c>
      <c r="O4" s="9" t="s">
        <v>92</v>
      </c>
      <c r="P4" s="9" t="s">
        <v>93</v>
      </c>
      <c r="Q4" s="9" t="s">
        <v>94</v>
      </c>
      <c r="R4" s="9" t="s">
        <v>95</v>
      </c>
      <c r="S4" s="9" t="s">
        <v>96</v>
      </c>
      <c r="T4" s="9" t="s">
        <v>97</v>
      </c>
      <c r="U4" s="9" t="s">
        <v>98</v>
      </c>
      <c r="V4" s="9" t="s">
        <v>99</v>
      </c>
      <c r="W4" s="9" t="s">
        <v>100</v>
      </c>
      <c r="X4" s="9" t="s">
        <v>101</v>
      </c>
      <c r="Y4" s="9" t="s">
        <v>102</v>
      </c>
      <c r="Z4" s="9" t="s">
        <v>103</v>
      </c>
      <c r="AA4" s="9" t="s">
        <v>104</v>
      </c>
      <c r="AB4" s="9" t="s">
        <v>105</v>
      </c>
    </row>
    <row r="5" customFormat="false" ht="15" hidden="false" customHeight="false" outlineLevel="0" collapsed="false">
      <c r="A5" s="5" t="s">
        <v>106</v>
      </c>
      <c r="B5" s="5" t="s">
        <v>107</v>
      </c>
      <c r="C5" s="5" t="s">
        <v>108</v>
      </c>
      <c r="D5" s="5" t="s">
        <v>109</v>
      </c>
      <c r="E5" s="5" t="s">
        <v>110</v>
      </c>
      <c r="F5" s="5" t="n">
        <v>1</v>
      </c>
      <c r="G5" s="5" t="n">
        <v>1</v>
      </c>
      <c r="H5" s="5" t="n">
        <v>1</v>
      </c>
      <c r="I5" s="5" t="n">
        <v>1</v>
      </c>
      <c r="J5" s="5"/>
      <c r="K5" s="5" t="n">
        <v>1</v>
      </c>
      <c r="L5" s="5" t="n">
        <v>1</v>
      </c>
      <c r="M5" s="5" t="n">
        <v>0</v>
      </c>
      <c r="N5" s="5" t="n">
        <v>1</v>
      </c>
      <c r="O5" s="5" t="n">
        <v>0</v>
      </c>
      <c r="P5" s="18" t="n">
        <f aca="false">IF(COUNTA(A5)=0,"",COUNTIF(F5:O5,1))</f>
        <v>7</v>
      </c>
      <c r="Q5" s="4" t="n">
        <f aca="false">IF(COUNTA(A5)=0,"",COUNTBLANK(F5:O5))</f>
        <v>1</v>
      </c>
      <c r="R5" s="4" t="str">
        <f aca="false">IF(P5="","",IF(P5&gt;=7,"Demo entro una settimana",IF(P5&gt;=4,"Un messaggio al mese","Archiviare")))</f>
        <v>Demo entro una settimana</v>
      </c>
      <c r="S5" s="19" t="n">
        <v>46330</v>
      </c>
      <c r="T5" s="5" t="s">
        <v>111</v>
      </c>
      <c r="U5" s="5" t="s">
        <v>112</v>
      </c>
      <c r="V5" s="5" t="s">
        <v>113</v>
      </c>
      <c r="W5" s="19" t="n">
        <v>46332</v>
      </c>
      <c r="X5" s="4" t="str">
        <f aca="true">IF(AND(ISNUMBER(W5),W5&lt;TODAY()),"SÌ","")</f>
        <v/>
      </c>
      <c r="Y5" s="5" t="s">
        <v>71</v>
      </c>
      <c r="Z5" s="20" t="n">
        <f aca="false">IF(Y5="","",IFERROR(INDEX(Listino!$C$5:$C$7,MATCH(Y5,Listino!$A$5:$A$7,0)),""))</f>
        <v>129</v>
      </c>
      <c r="AA5" s="5" t="s">
        <v>114</v>
      </c>
      <c r="AB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8" t="str">
        <f aca="false">IF(COUNTA(A6)=0,"",COUNTIF(F6:O6,1))</f>
        <v/>
      </c>
      <c r="Q6" s="4" t="str">
        <f aca="false">IF(COUNTA(A6)=0,"",COUNTBLANK(F6:O6))</f>
        <v/>
      </c>
      <c r="R6" s="4" t="str">
        <f aca="false">IF(P6="","",IF(P6&gt;=7,"Demo entro una settimana",IF(P6&gt;=4,"Un messaggio al mese","Archiviare")))</f>
        <v/>
      </c>
      <c r="S6" s="19"/>
      <c r="T6" s="5"/>
      <c r="U6" s="5"/>
      <c r="V6" s="5"/>
      <c r="W6" s="19"/>
      <c r="X6" s="4" t="str">
        <f aca="true">IF(AND(ISNUMBER(W6),W6&lt;TODAY()),"SÌ","")</f>
        <v/>
      </c>
      <c r="Y6" s="5"/>
      <c r="Z6" s="20" t="str">
        <f aca="false">IF(Y6="","",IFERROR(INDEX(Listino!$C$5:$C$7,MATCH(Y6,Listino!$A$5:$A$7,0)),""))</f>
        <v/>
      </c>
      <c r="AA6" s="5"/>
      <c r="AB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8" t="str">
        <f aca="false">IF(COUNTA(A7)=0,"",COUNTIF(F7:O7,1))</f>
        <v/>
      </c>
      <c r="Q7" s="4" t="str">
        <f aca="false">IF(COUNTA(A7)=0,"",COUNTBLANK(F7:O7))</f>
        <v/>
      </c>
      <c r="R7" s="4" t="str">
        <f aca="false">IF(P7="","",IF(P7&gt;=7,"Demo entro una settimana",IF(P7&gt;=4,"Un messaggio al mese","Archiviare")))</f>
        <v/>
      </c>
      <c r="S7" s="19"/>
      <c r="T7" s="5"/>
      <c r="U7" s="5"/>
      <c r="V7" s="5"/>
      <c r="W7" s="19"/>
      <c r="X7" s="4" t="str">
        <f aca="true">IF(AND(ISNUMBER(W7),W7&lt;TODAY()),"SÌ","")</f>
        <v/>
      </c>
      <c r="Y7" s="5"/>
      <c r="Z7" s="20" t="str">
        <f aca="false">IF(Y7="","",IFERROR(INDEX(Listino!$C$5:$C$7,MATCH(Y7,Listino!$A$5:$A$7,0)),""))</f>
        <v/>
      </c>
      <c r="AA7" s="5"/>
      <c r="AB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8" t="str">
        <f aca="false">IF(COUNTA(A8)=0,"",COUNTIF(F8:O8,1))</f>
        <v/>
      </c>
      <c r="Q8" s="4" t="str">
        <f aca="false">IF(COUNTA(A8)=0,"",COUNTBLANK(F8:O8))</f>
        <v/>
      </c>
      <c r="R8" s="4" t="str">
        <f aca="false">IF(P8="","",IF(P8&gt;=7,"Demo entro una settimana",IF(P8&gt;=4,"Un messaggio al mese","Archiviare")))</f>
        <v/>
      </c>
      <c r="S8" s="19"/>
      <c r="T8" s="5"/>
      <c r="U8" s="5"/>
      <c r="V8" s="5"/>
      <c r="W8" s="19"/>
      <c r="X8" s="4" t="str">
        <f aca="true">IF(AND(ISNUMBER(W8),W8&lt;TODAY()),"SÌ","")</f>
        <v/>
      </c>
      <c r="Y8" s="5"/>
      <c r="Z8" s="20" t="str">
        <f aca="false">IF(Y8="","",IFERROR(INDEX(Listino!$C$5:$C$7,MATCH(Y8,Listino!$A$5:$A$7,0)),""))</f>
        <v/>
      </c>
      <c r="AA8" s="5"/>
      <c r="AB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8" t="str">
        <f aca="false">IF(COUNTA(A9)=0,"",COUNTIF(F9:O9,1))</f>
        <v/>
      </c>
      <c r="Q9" s="4" t="str">
        <f aca="false">IF(COUNTA(A9)=0,"",COUNTBLANK(F9:O9))</f>
        <v/>
      </c>
      <c r="R9" s="4" t="str">
        <f aca="false">IF(P9="","",IF(P9&gt;=7,"Demo entro una settimana",IF(P9&gt;=4,"Un messaggio al mese","Archiviare")))</f>
        <v/>
      </c>
      <c r="S9" s="19"/>
      <c r="T9" s="5"/>
      <c r="U9" s="5"/>
      <c r="V9" s="5"/>
      <c r="W9" s="19"/>
      <c r="X9" s="4" t="str">
        <f aca="true">IF(AND(ISNUMBER(W9),W9&lt;TODAY()),"SÌ","")</f>
        <v/>
      </c>
      <c r="Y9" s="5"/>
      <c r="Z9" s="20" t="str">
        <f aca="false">IF(Y9="","",IFERROR(INDEX(Listino!$C$5:$C$7,MATCH(Y9,Listino!$A$5:$A$7,0)),""))</f>
        <v/>
      </c>
      <c r="AA9" s="5"/>
      <c r="AB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8" t="str">
        <f aca="false">IF(COUNTA(A10)=0,"",COUNTIF(F10:O10,1))</f>
        <v/>
      </c>
      <c r="Q10" s="4" t="str">
        <f aca="false">IF(COUNTA(A10)=0,"",COUNTBLANK(F10:O10))</f>
        <v/>
      </c>
      <c r="R10" s="4" t="str">
        <f aca="false">IF(P10="","",IF(P10&gt;=7,"Demo entro una settimana",IF(P10&gt;=4,"Un messaggio al mese","Archiviare")))</f>
        <v/>
      </c>
      <c r="S10" s="19"/>
      <c r="T10" s="5"/>
      <c r="U10" s="5"/>
      <c r="V10" s="5"/>
      <c r="W10" s="19"/>
      <c r="X10" s="4" t="str">
        <f aca="true">IF(AND(ISNUMBER(W10),W10&lt;TODAY()),"SÌ","")</f>
        <v/>
      </c>
      <c r="Y10" s="5"/>
      <c r="Z10" s="20" t="str">
        <f aca="false">IF(Y10="","",IFERROR(INDEX(Listino!$C$5:$C$7,MATCH(Y10,Listino!$A$5:$A$7,0)),""))</f>
        <v/>
      </c>
      <c r="AA10" s="5"/>
      <c r="AB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8" t="str">
        <f aca="false">IF(COUNTA(A11)=0,"",COUNTIF(F11:O11,1))</f>
        <v/>
      </c>
      <c r="Q11" s="4" t="str">
        <f aca="false">IF(COUNTA(A11)=0,"",COUNTBLANK(F11:O11))</f>
        <v/>
      </c>
      <c r="R11" s="4" t="str">
        <f aca="false">IF(P11="","",IF(P11&gt;=7,"Demo entro una settimana",IF(P11&gt;=4,"Un messaggio al mese","Archiviare")))</f>
        <v/>
      </c>
      <c r="S11" s="19"/>
      <c r="T11" s="5"/>
      <c r="U11" s="5"/>
      <c r="V11" s="5"/>
      <c r="W11" s="19"/>
      <c r="X11" s="4" t="str">
        <f aca="true">IF(AND(ISNUMBER(W11),W11&lt;TODAY()),"SÌ","")</f>
        <v/>
      </c>
      <c r="Y11" s="5"/>
      <c r="Z11" s="20" t="str">
        <f aca="false">IF(Y11="","",IFERROR(INDEX(Listino!$C$5:$C$7,MATCH(Y11,Listino!$A$5:$A$7,0)),""))</f>
        <v/>
      </c>
      <c r="AA11" s="5"/>
      <c r="AB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8" t="str">
        <f aca="false">IF(COUNTA(A12)=0,"",COUNTIF(F12:O12,1))</f>
        <v/>
      </c>
      <c r="Q12" s="4" t="str">
        <f aca="false">IF(COUNTA(A12)=0,"",COUNTBLANK(F12:O12))</f>
        <v/>
      </c>
      <c r="R12" s="4" t="str">
        <f aca="false">IF(P12="","",IF(P12&gt;=7,"Demo entro una settimana",IF(P12&gt;=4,"Un messaggio al mese","Archiviare")))</f>
        <v/>
      </c>
      <c r="S12" s="19"/>
      <c r="T12" s="5"/>
      <c r="U12" s="5"/>
      <c r="V12" s="5"/>
      <c r="W12" s="19"/>
      <c r="X12" s="4" t="str">
        <f aca="true">IF(AND(ISNUMBER(W12),W12&lt;TODAY()),"SÌ","")</f>
        <v/>
      </c>
      <c r="Y12" s="5"/>
      <c r="Z12" s="20" t="str">
        <f aca="false">IF(Y12="","",IFERROR(INDEX(Listino!$C$5:$C$7,MATCH(Y12,Listino!$A$5:$A$7,0)),""))</f>
        <v/>
      </c>
      <c r="AA12" s="5"/>
      <c r="AB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8" t="str">
        <f aca="false">IF(COUNTA(A13)=0,"",COUNTIF(F13:O13,1))</f>
        <v/>
      </c>
      <c r="Q13" s="4" t="str">
        <f aca="false">IF(COUNTA(A13)=0,"",COUNTBLANK(F13:O13))</f>
        <v/>
      </c>
      <c r="R13" s="4" t="str">
        <f aca="false">IF(P13="","",IF(P13&gt;=7,"Demo entro una settimana",IF(P13&gt;=4,"Un messaggio al mese","Archiviare")))</f>
        <v/>
      </c>
      <c r="S13" s="19"/>
      <c r="T13" s="5"/>
      <c r="U13" s="5"/>
      <c r="V13" s="5"/>
      <c r="W13" s="19"/>
      <c r="X13" s="4" t="str">
        <f aca="true">IF(AND(ISNUMBER(W13),W13&lt;TODAY()),"SÌ","")</f>
        <v/>
      </c>
      <c r="Y13" s="5"/>
      <c r="Z13" s="20" t="str">
        <f aca="false">IF(Y13="","",IFERROR(INDEX(Listino!$C$5:$C$7,MATCH(Y13,Listino!$A$5:$A$7,0)),""))</f>
        <v/>
      </c>
      <c r="AA13" s="5"/>
      <c r="AB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8" t="str">
        <f aca="false">IF(COUNTA(A14)=0,"",COUNTIF(F14:O14,1))</f>
        <v/>
      </c>
      <c r="Q14" s="4" t="str">
        <f aca="false">IF(COUNTA(A14)=0,"",COUNTBLANK(F14:O14))</f>
        <v/>
      </c>
      <c r="R14" s="4" t="str">
        <f aca="false">IF(P14="","",IF(P14&gt;=7,"Demo entro una settimana",IF(P14&gt;=4,"Un messaggio al mese","Archiviare")))</f>
        <v/>
      </c>
      <c r="S14" s="19"/>
      <c r="T14" s="5"/>
      <c r="U14" s="5"/>
      <c r="V14" s="5"/>
      <c r="W14" s="19"/>
      <c r="X14" s="4" t="str">
        <f aca="true">IF(AND(ISNUMBER(W14),W14&lt;TODAY()),"SÌ","")</f>
        <v/>
      </c>
      <c r="Y14" s="5"/>
      <c r="Z14" s="20" t="str">
        <f aca="false">IF(Y14="","",IFERROR(INDEX(Listino!$C$5:$C$7,MATCH(Y14,Listino!$A$5:$A$7,0)),""))</f>
        <v/>
      </c>
      <c r="AA14" s="5"/>
      <c r="AB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8" t="str">
        <f aca="false">IF(COUNTA(A15)=0,"",COUNTIF(F15:O15,1))</f>
        <v/>
      </c>
      <c r="Q15" s="4" t="str">
        <f aca="false">IF(COUNTA(A15)=0,"",COUNTBLANK(F15:O15))</f>
        <v/>
      </c>
      <c r="R15" s="4" t="str">
        <f aca="false">IF(P15="","",IF(P15&gt;=7,"Demo entro una settimana",IF(P15&gt;=4,"Un messaggio al mese","Archiviare")))</f>
        <v/>
      </c>
      <c r="S15" s="19"/>
      <c r="T15" s="5"/>
      <c r="U15" s="5"/>
      <c r="V15" s="5"/>
      <c r="W15" s="19"/>
      <c r="X15" s="4" t="str">
        <f aca="true">IF(AND(ISNUMBER(W15),W15&lt;TODAY()),"SÌ","")</f>
        <v/>
      </c>
      <c r="Y15" s="5"/>
      <c r="Z15" s="20" t="str">
        <f aca="false">IF(Y15="","",IFERROR(INDEX(Listino!$C$5:$C$7,MATCH(Y15,Listino!$A$5:$A$7,0)),""))</f>
        <v/>
      </c>
      <c r="AA15" s="5"/>
      <c r="AB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8" t="str">
        <f aca="false">IF(COUNTA(A16)=0,"",COUNTIF(F16:O16,1))</f>
        <v/>
      </c>
      <c r="Q16" s="4" t="str">
        <f aca="false">IF(COUNTA(A16)=0,"",COUNTBLANK(F16:O16))</f>
        <v/>
      </c>
      <c r="R16" s="4" t="str">
        <f aca="false">IF(P16="","",IF(P16&gt;=7,"Demo entro una settimana",IF(P16&gt;=4,"Un messaggio al mese","Archiviare")))</f>
        <v/>
      </c>
      <c r="S16" s="19"/>
      <c r="T16" s="5"/>
      <c r="U16" s="5"/>
      <c r="V16" s="5"/>
      <c r="W16" s="19"/>
      <c r="X16" s="4" t="str">
        <f aca="true">IF(AND(ISNUMBER(W16),W16&lt;TODAY()),"SÌ","")</f>
        <v/>
      </c>
      <c r="Y16" s="5"/>
      <c r="Z16" s="20" t="str">
        <f aca="false">IF(Y16="","",IFERROR(INDEX(Listino!$C$5:$C$7,MATCH(Y16,Listino!$A$5:$A$7,0)),""))</f>
        <v/>
      </c>
      <c r="AA16" s="5"/>
      <c r="AB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8" t="str">
        <f aca="false">IF(COUNTA(A17)=0,"",COUNTIF(F17:O17,1))</f>
        <v/>
      </c>
      <c r="Q17" s="4" t="str">
        <f aca="false">IF(COUNTA(A17)=0,"",COUNTBLANK(F17:O17))</f>
        <v/>
      </c>
      <c r="R17" s="4" t="str">
        <f aca="false">IF(P17="","",IF(P17&gt;=7,"Demo entro una settimana",IF(P17&gt;=4,"Un messaggio al mese","Archiviare")))</f>
        <v/>
      </c>
      <c r="S17" s="19"/>
      <c r="T17" s="5"/>
      <c r="U17" s="5"/>
      <c r="V17" s="5"/>
      <c r="W17" s="19"/>
      <c r="X17" s="4" t="str">
        <f aca="true">IF(AND(ISNUMBER(W17),W17&lt;TODAY()),"SÌ","")</f>
        <v/>
      </c>
      <c r="Y17" s="5"/>
      <c r="Z17" s="20" t="str">
        <f aca="false">IF(Y17="","",IFERROR(INDEX(Listino!$C$5:$C$7,MATCH(Y17,Listino!$A$5:$A$7,0)),""))</f>
        <v/>
      </c>
      <c r="AA17" s="5"/>
      <c r="AB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8" t="str">
        <f aca="false">IF(COUNTA(A18)=0,"",COUNTIF(F18:O18,1))</f>
        <v/>
      </c>
      <c r="Q18" s="4" t="str">
        <f aca="false">IF(COUNTA(A18)=0,"",COUNTBLANK(F18:O18))</f>
        <v/>
      </c>
      <c r="R18" s="4" t="str">
        <f aca="false">IF(P18="","",IF(P18&gt;=7,"Demo entro una settimana",IF(P18&gt;=4,"Un messaggio al mese","Archiviare")))</f>
        <v/>
      </c>
      <c r="S18" s="19"/>
      <c r="T18" s="5"/>
      <c r="U18" s="5"/>
      <c r="V18" s="5"/>
      <c r="W18" s="19"/>
      <c r="X18" s="4" t="str">
        <f aca="true">IF(AND(ISNUMBER(W18),W18&lt;TODAY()),"SÌ","")</f>
        <v/>
      </c>
      <c r="Y18" s="5"/>
      <c r="Z18" s="20" t="str">
        <f aca="false">IF(Y18="","",IFERROR(INDEX(Listino!$C$5:$C$7,MATCH(Y18,Listino!$A$5:$A$7,0)),""))</f>
        <v/>
      </c>
      <c r="AA18" s="5"/>
      <c r="AB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8" t="str">
        <f aca="false">IF(COUNTA(A19)=0,"",COUNTIF(F19:O19,1))</f>
        <v/>
      </c>
      <c r="Q19" s="4" t="str">
        <f aca="false">IF(COUNTA(A19)=0,"",COUNTBLANK(F19:O19))</f>
        <v/>
      </c>
      <c r="R19" s="4" t="str">
        <f aca="false">IF(P19="","",IF(P19&gt;=7,"Demo entro una settimana",IF(P19&gt;=4,"Un messaggio al mese","Archiviare")))</f>
        <v/>
      </c>
      <c r="S19" s="19"/>
      <c r="T19" s="5"/>
      <c r="U19" s="5"/>
      <c r="V19" s="5"/>
      <c r="W19" s="19"/>
      <c r="X19" s="4" t="str">
        <f aca="true">IF(AND(ISNUMBER(W19),W19&lt;TODAY()),"SÌ","")</f>
        <v/>
      </c>
      <c r="Y19" s="5"/>
      <c r="Z19" s="20" t="str">
        <f aca="false">IF(Y19="","",IFERROR(INDEX(Listino!$C$5:$C$7,MATCH(Y19,Listino!$A$5:$A$7,0)),""))</f>
        <v/>
      </c>
      <c r="AA19" s="5"/>
      <c r="AB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8" t="str">
        <f aca="false">IF(COUNTA(A20)=0,"",COUNTIF(F20:O20,1))</f>
        <v/>
      </c>
      <c r="Q20" s="4" t="str">
        <f aca="false">IF(COUNTA(A20)=0,"",COUNTBLANK(F20:O20))</f>
        <v/>
      </c>
      <c r="R20" s="4" t="str">
        <f aca="false">IF(P20="","",IF(P20&gt;=7,"Demo entro una settimana",IF(P20&gt;=4,"Un messaggio al mese","Archiviare")))</f>
        <v/>
      </c>
      <c r="S20" s="19"/>
      <c r="T20" s="5"/>
      <c r="U20" s="5"/>
      <c r="V20" s="5"/>
      <c r="W20" s="19"/>
      <c r="X20" s="4" t="str">
        <f aca="true">IF(AND(ISNUMBER(W20),W20&lt;TODAY()),"SÌ","")</f>
        <v/>
      </c>
      <c r="Y20" s="5"/>
      <c r="Z20" s="20" t="str">
        <f aca="false">IF(Y20="","",IFERROR(INDEX(Listino!$C$5:$C$7,MATCH(Y20,Listino!$A$5:$A$7,0)),""))</f>
        <v/>
      </c>
      <c r="AA20" s="5"/>
      <c r="AB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8" t="str">
        <f aca="false">IF(COUNTA(A21)=0,"",COUNTIF(F21:O21,1))</f>
        <v/>
      </c>
      <c r="Q21" s="4" t="str">
        <f aca="false">IF(COUNTA(A21)=0,"",COUNTBLANK(F21:O21))</f>
        <v/>
      </c>
      <c r="R21" s="4" t="str">
        <f aca="false">IF(P21="","",IF(P21&gt;=7,"Demo entro una settimana",IF(P21&gt;=4,"Un messaggio al mese","Archiviare")))</f>
        <v/>
      </c>
      <c r="S21" s="19"/>
      <c r="T21" s="5"/>
      <c r="U21" s="5"/>
      <c r="V21" s="5"/>
      <c r="W21" s="19"/>
      <c r="X21" s="4" t="str">
        <f aca="true">IF(AND(ISNUMBER(W21),W21&lt;TODAY()),"SÌ","")</f>
        <v/>
      </c>
      <c r="Y21" s="5"/>
      <c r="Z21" s="20" t="str">
        <f aca="false">IF(Y21="","",IFERROR(INDEX(Listino!$C$5:$C$7,MATCH(Y21,Listino!$A$5:$A$7,0)),""))</f>
        <v/>
      </c>
      <c r="AA21" s="5"/>
      <c r="AB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8" t="str">
        <f aca="false">IF(COUNTA(A22)=0,"",COUNTIF(F22:O22,1))</f>
        <v/>
      </c>
      <c r="Q22" s="4" t="str">
        <f aca="false">IF(COUNTA(A22)=0,"",COUNTBLANK(F22:O22))</f>
        <v/>
      </c>
      <c r="R22" s="4" t="str">
        <f aca="false">IF(P22="","",IF(P22&gt;=7,"Demo entro una settimana",IF(P22&gt;=4,"Un messaggio al mese","Archiviare")))</f>
        <v/>
      </c>
      <c r="S22" s="19"/>
      <c r="T22" s="5"/>
      <c r="U22" s="5"/>
      <c r="V22" s="5"/>
      <c r="W22" s="19"/>
      <c r="X22" s="4" t="str">
        <f aca="true">IF(AND(ISNUMBER(W22),W22&lt;TODAY()),"SÌ","")</f>
        <v/>
      </c>
      <c r="Y22" s="5"/>
      <c r="Z22" s="20" t="str">
        <f aca="false">IF(Y22="","",IFERROR(INDEX(Listino!$C$5:$C$7,MATCH(Y22,Listino!$A$5:$A$7,0)),""))</f>
        <v/>
      </c>
      <c r="AA22" s="5"/>
      <c r="AB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8" t="str">
        <f aca="false">IF(COUNTA(A23)=0,"",COUNTIF(F23:O23,1))</f>
        <v/>
      </c>
      <c r="Q23" s="4" t="str">
        <f aca="false">IF(COUNTA(A23)=0,"",COUNTBLANK(F23:O23))</f>
        <v/>
      </c>
      <c r="R23" s="4" t="str">
        <f aca="false">IF(P23="","",IF(P23&gt;=7,"Demo entro una settimana",IF(P23&gt;=4,"Un messaggio al mese","Archiviare")))</f>
        <v/>
      </c>
      <c r="S23" s="19"/>
      <c r="T23" s="5"/>
      <c r="U23" s="5"/>
      <c r="V23" s="5"/>
      <c r="W23" s="19"/>
      <c r="X23" s="4" t="str">
        <f aca="true">IF(AND(ISNUMBER(W23),W23&lt;TODAY()),"SÌ","")</f>
        <v/>
      </c>
      <c r="Y23" s="5"/>
      <c r="Z23" s="20" t="str">
        <f aca="false">IF(Y23="","",IFERROR(INDEX(Listino!$C$5:$C$7,MATCH(Y23,Listino!$A$5:$A$7,0)),""))</f>
        <v/>
      </c>
      <c r="AA23" s="5"/>
      <c r="AB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8" t="str">
        <f aca="false">IF(COUNTA(A24)=0,"",COUNTIF(F24:O24,1))</f>
        <v/>
      </c>
      <c r="Q24" s="4" t="str">
        <f aca="false">IF(COUNTA(A24)=0,"",COUNTBLANK(F24:O24))</f>
        <v/>
      </c>
      <c r="R24" s="4" t="str">
        <f aca="false">IF(P24="","",IF(P24&gt;=7,"Demo entro una settimana",IF(P24&gt;=4,"Un messaggio al mese","Archiviare")))</f>
        <v/>
      </c>
      <c r="S24" s="19"/>
      <c r="T24" s="5"/>
      <c r="U24" s="5"/>
      <c r="V24" s="5"/>
      <c r="W24" s="19"/>
      <c r="X24" s="4" t="str">
        <f aca="true">IF(AND(ISNUMBER(W24),W24&lt;TODAY()),"SÌ","")</f>
        <v/>
      </c>
      <c r="Y24" s="5"/>
      <c r="Z24" s="20" t="str">
        <f aca="false">IF(Y24="","",IFERROR(INDEX(Listino!$C$5:$C$7,MATCH(Y24,Listino!$A$5:$A$7,0)),""))</f>
        <v/>
      </c>
      <c r="AA24" s="5"/>
      <c r="AB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8" t="str">
        <f aca="false">IF(COUNTA(A25)=0,"",COUNTIF(F25:O25,1))</f>
        <v/>
      </c>
      <c r="Q25" s="4" t="str">
        <f aca="false">IF(COUNTA(A25)=0,"",COUNTBLANK(F25:O25))</f>
        <v/>
      </c>
      <c r="R25" s="4" t="str">
        <f aca="false">IF(P25="","",IF(P25&gt;=7,"Demo entro una settimana",IF(P25&gt;=4,"Un messaggio al mese","Archiviare")))</f>
        <v/>
      </c>
      <c r="S25" s="19"/>
      <c r="T25" s="5"/>
      <c r="U25" s="5"/>
      <c r="V25" s="5"/>
      <c r="W25" s="19"/>
      <c r="X25" s="4" t="str">
        <f aca="true">IF(AND(ISNUMBER(W25),W25&lt;TODAY()),"SÌ","")</f>
        <v/>
      </c>
      <c r="Y25" s="5"/>
      <c r="Z25" s="20" t="str">
        <f aca="false">IF(Y25="","",IFERROR(INDEX(Listino!$C$5:$C$7,MATCH(Y25,Listino!$A$5:$A$7,0)),""))</f>
        <v/>
      </c>
      <c r="AA25" s="5"/>
      <c r="AB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8" t="str">
        <f aca="false">IF(COUNTA(A26)=0,"",COUNTIF(F26:O26,1))</f>
        <v/>
      </c>
      <c r="Q26" s="4" t="str">
        <f aca="false">IF(COUNTA(A26)=0,"",COUNTBLANK(F26:O26))</f>
        <v/>
      </c>
      <c r="R26" s="4" t="str">
        <f aca="false">IF(P26="","",IF(P26&gt;=7,"Demo entro una settimana",IF(P26&gt;=4,"Un messaggio al mese","Archiviare")))</f>
        <v/>
      </c>
      <c r="S26" s="19"/>
      <c r="T26" s="5"/>
      <c r="U26" s="5"/>
      <c r="V26" s="5"/>
      <c r="W26" s="19"/>
      <c r="X26" s="4" t="str">
        <f aca="true">IF(AND(ISNUMBER(W26),W26&lt;TODAY()),"SÌ","")</f>
        <v/>
      </c>
      <c r="Y26" s="5"/>
      <c r="Z26" s="20" t="str">
        <f aca="false">IF(Y26="","",IFERROR(INDEX(Listino!$C$5:$C$7,MATCH(Y26,Listino!$A$5:$A$7,0)),""))</f>
        <v/>
      </c>
      <c r="AA26" s="5"/>
      <c r="AB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8" t="str">
        <f aca="false">IF(COUNTA(A27)=0,"",COUNTIF(F27:O27,1))</f>
        <v/>
      </c>
      <c r="Q27" s="4" t="str">
        <f aca="false">IF(COUNTA(A27)=0,"",COUNTBLANK(F27:O27))</f>
        <v/>
      </c>
      <c r="R27" s="4" t="str">
        <f aca="false">IF(P27="","",IF(P27&gt;=7,"Demo entro una settimana",IF(P27&gt;=4,"Un messaggio al mese","Archiviare")))</f>
        <v/>
      </c>
      <c r="S27" s="19"/>
      <c r="T27" s="5"/>
      <c r="U27" s="5"/>
      <c r="V27" s="5"/>
      <c r="W27" s="19"/>
      <c r="X27" s="4" t="str">
        <f aca="true">IF(AND(ISNUMBER(W27),W27&lt;TODAY()),"SÌ","")</f>
        <v/>
      </c>
      <c r="Y27" s="5"/>
      <c r="Z27" s="20" t="str">
        <f aca="false">IF(Y27="","",IFERROR(INDEX(Listino!$C$5:$C$7,MATCH(Y27,Listino!$A$5:$A$7,0)),""))</f>
        <v/>
      </c>
      <c r="AA27" s="5"/>
      <c r="AB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8" t="str">
        <f aca="false">IF(COUNTA(A28)=0,"",COUNTIF(F28:O28,1))</f>
        <v/>
      </c>
      <c r="Q28" s="4" t="str">
        <f aca="false">IF(COUNTA(A28)=0,"",COUNTBLANK(F28:O28))</f>
        <v/>
      </c>
      <c r="R28" s="4" t="str">
        <f aca="false">IF(P28="","",IF(P28&gt;=7,"Demo entro una settimana",IF(P28&gt;=4,"Un messaggio al mese","Archiviare")))</f>
        <v/>
      </c>
      <c r="S28" s="19"/>
      <c r="T28" s="5"/>
      <c r="U28" s="5"/>
      <c r="V28" s="5"/>
      <c r="W28" s="19"/>
      <c r="X28" s="4" t="str">
        <f aca="true">IF(AND(ISNUMBER(W28),W28&lt;TODAY()),"SÌ","")</f>
        <v/>
      </c>
      <c r="Y28" s="5"/>
      <c r="Z28" s="20" t="str">
        <f aca="false">IF(Y28="","",IFERROR(INDEX(Listino!$C$5:$C$7,MATCH(Y28,Listino!$A$5:$A$7,0)),""))</f>
        <v/>
      </c>
      <c r="AA28" s="5"/>
      <c r="AB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8" t="str">
        <f aca="false">IF(COUNTA(A29)=0,"",COUNTIF(F29:O29,1))</f>
        <v/>
      </c>
      <c r="Q29" s="4" t="str">
        <f aca="false">IF(COUNTA(A29)=0,"",COUNTBLANK(F29:O29))</f>
        <v/>
      </c>
      <c r="R29" s="4" t="str">
        <f aca="false">IF(P29="","",IF(P29&gt;=7,"Demo entro una settimana",IF(P29&gt;=4,"Un messaggio al mese","Archiviare")))</f>
        <v/>
      </c>
      <c r="S29" s="19"/>
      <c r="T29" s="5"/>
      <c r="U29" s="5"/>
      <c r="V29" s="5"/>
      <c r="W29" s="19"/>
      <c r="X29" s="4" t="str">
        <f aca="true">IF(AND(ISNUMBER(W29),W29&lt;TODAY()),"SÌ","")</f>
        <v/>
      </c>
      <c r="Y29" s="5"/>
      <c r="Z29" s="20" t="str">
        <f aca="false">IF(Y29="","",IFERROR(INDEX(Listino!$C$5:$C$7,MATCH(Y29,Listino!$A$5:$A$7,0)),""))</f>
        <v/>
      </c>
      <c r="AA29" s="5"/>
      <c r="AB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18" t="str">
        <f aca="false">IF(COUNTA(A30)=0,"",COUNTIF(F30:O30,1))</f>
        <v/>
      </c>
      <c r="Q30" s="4" t="str">
        <f aca="false">IF(COUNTA(A30)=0,"",COUNTBLANK(F30:O30))</f>
        <v/>
      </c>
      <c r="R30" s="4" t="str">
        <f aca="false">IF(P30="","",IF(P30&gt;=7,"Demo entro una settimana",IF(P30&gt;=4,"Un messaggio al mese","Archiviare")))</f>
        <v/>
      </c>
      <c r="S30" s="19"/>
      <c r="T30" s="5"/>
      <c r="U30" s="5"/>
      <c r="V30" s="5"/>
      <c r="W30" s="19"/>
      <c r="X30" s="4" t="str">
        <f aca="true">IF(AND(ISNUMBER(W30),W30&lt;TODAY()),"SÌ","")</f>
        <v/>
      </c>
      <c r="Y30" s="5"/>
      <c r="Z30" s="20" t="str">
        <f aca="false">IF(Y30="","",IFERROR(INDEX(Listino!$C$5:$C$7,MATCH(Y30,Listino!$A$5:$A$7,0)),""))</f>
        <v/>
      </c>
      <c r="AA30" s="5"/>
      <c r="AB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8" t="str">
        <f aca="false">IF(COUNTA(A31)=0,"",COUNTIF(F31:O31,1))</f>
        <v/>
      </c>
      <c r="Q31" s="4" t="str">
        <f aca="false">IF(COUNTA(A31)=0,"",COUNTBLANK(F31:O31))</f>
        <v/>
      </c>
      <c r="R31" s="4" t="str">
        <f aca="false">IF(P31="","",IF(P31&gt;=7,"Demo entro una settimana",IF(P31&gt;=4,"Un messaggio al mese","Archiviare")))</f>
        <v/>
      </c>
      <c r="S31" s="19"/>
      <c r="T31" s="5"/>
      <c r="U31" s="5"/>
      <c r="V31" s="5"/>
      <c r="W31" s="19"/>
      <c r="X31" s="4" t="str">
        <f aca="true">IF(AND(ISNUMBER(W31),W31&lt;TODAY()),"SÌ","")</f>
        <v/>
      </c>
      <c r="Y31" s="5"/>
      <c r="Z31" s="20" t="str">
        <f aca="false">IF(Y31="","",IFERROR(INDEX(Listino!$C$5:$C$7,MATCH(Y31,Listino!$A$5:$A$7,0)),""))</f>
        <v/>
      </c>
      <c r="AA31" s="5"/>
      <c r="AB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18" t="str">
        <f aca="false">IF(COUNTA(A32)=0,"",COUNTIF(F32:O32,1))</f>
        <v/>
      </c>
      <c r="Q32" s="4" t="str">
        <f aca="false">IF(COUNTA(A32)=0,"",COUNTBLANK(F32:O32))</f>
        <v/>
      </c>
      <c r="R32" s="4" t="str">
        <f aca="false">IF(P32="","",IF(P32&gt;=7,"Demo entro una settimana",IF(P32&gt;=4,"Un messaggio al mese","Archiviare")))</f>
        <v/>
      </c>
      <c r="S32" s="19"/>
      <c r="T32" s="5"/>
      <c r="U32" s="5"/>
      <c r="V32" s="5"/>
      <c r="W32" s="19"/>
      <c r="X32" s="4" t="str">
        <f aca="true">IF(AND(ISNUMBER(W32),W32&lt;TODAY()),"SÌ","")</f>
        <v/>
      </c>
      <c r="Y32" s="5"/>
      <c r="Z32" s="20" t="str">
        <f aca="false">IF(Y32="","",IFERROR(INDEX(Listino!$C$5:$C$7,MATCH(Y32,Listino!$A$5:$A$7,0)),""))</f>
        <v/>
      </c>
      <c r="AA32" s="5"/>
      <c r="AB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18" t="str">
        <f aca="false">IF(COUNTA(A33)=0,"",COUNTIF(F33:O33,1))</f>
        <v/>
      </c>
      <c r="Q33" s="4" t="str">
        <f aca="false">IF(COUNTA(A33)=0,"",COUNTBLANK(F33:O33))</f>
        <v/>
      </c>
      <c r="R33" s="4" t="str">
        <f aca="false">IF(P33="","",IF(P33&gt;=7,"Demo entro una settimana",IF(P33&gt;=4,"Un messaggio al mese","Archiviare")))</f>
        <v/>
      </c>
      <c r="S33" s="19"/>
      <c r="T33" s="5"/>
      <c r="U33" s="5"/>
      <c r="V33" s="5"/>
      <c r="W33" s="19"/>
      <c r="X33" s="4" t="str">
        <f aca="true">IF(AND(ISNUMBER(W33),W33&lt;TODAY()),"SÌ","")</f>
        <v/>
      </c>
      <c r="Y33" s="5"/>
      <c r="Z33" s="20" t="str">
        <f aca="false">IF(Y33="","",IFERROR(INDEX(Listino!$C$5:$C$7,MATCH(Y33,Listino!$A$5:$A$7,0)),""))</f>
        <v/>
      </c>
      <c r="AA33" s="5"/>
      <c r="AB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18" t="str">
        <f aca="false">IF(COUNTA(A34)=0,"",COUNTIF(F34:O34,1))</f>
        <v/>
      </c>
      <c r="Q34" s="4" t="str">
        <f aca="false">IF(COUNTA(A34)=0,"",COUNTBLANK(F34:O34))</f>
        <v/>
      </c>
      <c r="R34" s="4" t="str">
        <f aca="false">IF(P34="","",IF(P34&gt;=7,"Demo entro una settimana",IF(P34&gt;=4,"Un messaggio al mese","Archiviare")))</f>
        <v/>
      </c>
      <c r="S34" s="19"/>
      <c r="T34" s="5"/>
      <c r="U34" s="5"/>
      <c r="V34" s="5"/>
      <c r="W34" s="19"/>
      <c r="X34" s="4" t="str">
        <f aca="true">IF(AND(ISNUMBER(W34),W34&lt;TODAY()),"SÌ","")</f>
        <v/>
      </c>
      <c r="Y34" s="5"/>
      <c r="Z34" s="20" t="str">
        <f aca="false">IF(Y34="","",IFERROR(INDEX(Listino!$C$5:$C$7,MATCH(Y34,Listino!$A$5:$A$7,0)),""))</f>
        <v/>
      </c>
      <c r="AA34" s="5"/>
      <c r="AB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18" t="str">
        <f aca="false">IF(COUNTA(A35)=0,"",COUNTIF(F35:O35,1))</f>
        <v/>
      </c>
      <c r="Q35" s="4" t="str">
        <f aca="false">IF(COUNTA(A35)=0,"",COUNTBLANK(F35:O35))</f>
        <v/>
      </c>
      <c r="R35" s="4" t="str">
        <f aca="false">IF(P35="","",IF(P35&gt;=7,"Demo entro una settimana",IF(P35&gt;=4,"Un messaggio al mese","Archiviare")))</f>
        <v/>
      </c>
      <c r="S35" s="19"/>
      <c r="T35" s="5"/>
      <c r="U35" s="5"/>
      <c r="V35" s="5"/>
      <c r="W35" s="19"/>
      <c r="X35" s="4" t="str">
        <f aca="true">IF(AND(ISNUMBER(W35),W35&lt;TODAY()),"SÌ","")</f>
        <v/>
      </c>
      <c r="Y35" s="5"/>
      <c r="Z35" s="20" t="str">
        <f aca="false">IF(Y35="","",IFERROR(INDEX(Listino!$C$5:$C$7,MATCH(Y35,Listino!$A$5:$A$7,0)),""))</f>
        <v/>
      </c>
      <c r="AA35" s="5"/>
      <c r="AB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18" t="str">
        <f aca="false">IF(COUNTA(A36)=0,"",COUNTIF(F36:O36,1))</f>
        <v/>
      </c>
      <c r="Q36" s="4" t="str">
        <f aca="false">IF(COUNTA(A36)=0,"",COUNTBLANK(F36:O36))</f>
        <v/>
      </c>
      <c r="R36" s="4" t="str">
        <f aca="false">IF(P36="","",IF(P36&gt;=7,"Demo entro una settimana",IF(P36&gt;=4,"Un messaggio al mese","Archiviare")))</f>
        <v/>
      </c>
      <c r="S36" s="19"/>
      <c r="T36" s="5"/>
      <c r="U36" s="5"/>
      <c r="V36" s="5"/>
      <c r="W36" s="19"/>
      <c r="X36" s="4" t="str">
        <f aca="true">IF(AND(ISNUMBER(W36),W36&lt;TODAY()),"SÌ","")</f>
        <v/>
      </c>
      <c r="Y36" s="5"/>
      <c r="Z36" s="20" t="str">
        <f aca="false">IF(Y36="","",IFERROR(INDEX(Listino!$C$5:$C$7,MATCH(Y36,Listino!$A$5:$A$7,0)),""))</f>
        <v/>
      </c>
      <c r="AA36" s="5"/>
      <c r="AB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18" t="str">
        <f aca="false">IF(COUNTA(A37)=0,"",COUNTIF(F37:O37,1))</f>
        <v/>
      </c>
      <c r="Q37" s="4" t="str">
        <f aca="false">IF(COUNTA(A37)=0,"",COUNTBLANK(F37:O37))</f>
        <v/>
      </c>
      <c r="R37" s="4" t="str">
        <f aca="false">IF(P37="","",IF(P37&gt;=7,"Demo entro una settimana",IF(P37&gt;=4,"Un messaggio al mese","Archiviare")))</f>
        <v/>
      </c>
      <c r="S37" s="19"/>
      <c r="T37" s="5"/>
      <c r="U37" s="5"/>
      <c r="V37" s="5"/>
      <c r="W37" s="19"/>
      <c r="X37" s="4" t="str">
        <f aca="true">IF(AND(ISNUMBER(W37),W37&lt;TODAY()),"SÌ","")</f>
        <v/>
      </c>
      <c r="Y37" s="5"/>
      <c r="Z37" s="20" t="str">
        <f aca="false">IF(Y37="","",IFERROR(INDEX(Listino!$C$5:$C$7,MATCH(Y37,Listino!$A$5:$A$7,0)),""))</f>
        <v/>
      </c>
      <c r="AA37" s="5"/>
      <c r="AB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18" t="str">
        <f aca="false">IF(COUNTA(A38)=0,"",COUNTIF(F38:O38,1))</f>
        <v/>
      </c>
      <c r="Q38" s="4" t="str">
        <f aca="false">IF(COUNTA(A38)=0,"",COUNTBLANK(F38:O38))</f>
        <v/>
      </c>
      <c r="R38" s="4" t="str">
        <f aca="false">IF(P38="","",IF(P38&gt;=7,"Demo entro una settimana",IF(P38&gt;=4,"Un messaggio al mese","Archiviare")))</f>
        <v/>
      </c>
      <c r="S38" s="19"/>
      <c r="T38" s="5"/>
      <c r="U38" s="5"/>
      <c r="V38" s="5"/>
      <c r="W38" s="19"/>
      <c r="X38" s="4" t="str">
        <f aca="true">IF(AND(ISNUMBER(W38),W38&lt;TODAY()),"SÌ","")</f>
        <v/>
      </c>
      <c r="Y38" s="5"/>
      <c r="Z38" s="20" t="str">
        <f aca="false">IF(Y38="","",IFERROR(INDEX(Listino!$C$5:$C$7,MATCH(Y38,Listino!$A$5:$A$7,0)),""))</f>
        <v/>
      </c>
      <c r="AA38" s="5"/>
      <c r="AB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18" t="str">
        <f aca="false">IF(COUNTA(A39)=0,"",COUNTIF(F39:O39,1))</f>
        <v/>
      </c>
      <c r="Q39" s="4" t="str">
        <f aca="false">IF(COUNTA(A39)=0,"",COUNTBLANK(F39:O39))</f>
        <v/>
      </c>
      <c r="R39" s="4" t="str">
        <f aca="false">IF(P39="","",IF(P39&gt;=7,"Demo entro una settimana",IF(P39&gt;=4,"Un messaggio al mese","Archiviare")))</f>
        <v/>
      </c>
      <c r="S39" s="19"/>
      <c r="T39" s="5"/>
      <c r="U39" s="5"/>
      <c r="V39" s="5"/>
      <c r="W39" s="19"/>
      <c r="X39" s="4" t="str">
        <f aca="true">IF(AND(ISNUMBER(W39),W39&lt;TODAY()),"SÌ","")</f>
        <v/>
      </c>
      <c r="Y39" s="5"/>
      <c r="Z39" s="20" t="str">
        <f aca="false">IF(Y39="","",IFERROR(INDEX(Listino!$C$5:$C$7,MATCH(Y39,Listino!$A$5:$A$7,0)),""))</f>
        <v/>
      </c>
      <c r="AA39" s="5"/>
      <c r="AB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18" t="str">
        <f aca="false">IF(COUNTA(A40)=0,"",COUNTIF(F40:O40,1))</f>
        <v/>
      </c>
      <c r="Q40" s="4" t="str">
        <f aca="false">IF(COUNTA(A40)=0,"",COUNTBLANK(F40:O40))</f>
        <v/>
      </c>
      <c r="R40" s="4" t="str">
        <f aca="false">IF(P40="","",IF(P40&gt;=7,"Demo entro una settimana",IF(P40&gt;=4,"Un messaggio al mese","Archiviare")))</f>
        <v/>
      </c>
      <c r="S40" s="19"/>
      <c r="T40" s="5"/>
      <c r="U40" s="5"/>
      <c r="V40" s="5"/>
      <c r="W40" s="19"/>
      <c r="X40" s="4" t="str">
        <f aca="true">IF(AND(ISNUMBER(W40),W40&lt;TODAY()),"SÌ","")</f>
        <v/>
      </c>
      <c r="Y40" s="5"/>
      <c r="Z40" s="20" t="str">
        <f aca="false">IF(Y40="","",IFERROR(INDEX(Listino!$C$5:$C$7,MATCH(Y40,Listino!$A$5:$A$7,0)),""))</f>
        <v/>
      </c>
      <c r="AA40" s="5"/>
      <c r="AB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18" t="str">
        <f aca="false">IF(COUNTA(A41)=0,"",COUNTIF(F41:O41,1))</f>
        <v/>
      </c>
      <c r="Q41" s="4" t="str">
        <f aca="false">IF(COUNTA(A41)=0,"",COUNTBLANK(F41:O41))</f>
        <v/>
      </c>
      <c r="R41" s="4" t="str">
        <f aca="false">IF(P41="","",IF(P41&gt;=7,"Demo entro una settimana",IF(P41&gt;=4,"Un messaggio al mese","Archiviare")))</f>
        <v/>
      </c>
      <c r="S41" s="19"/>
      <c r="T41" s="5"/>
      <c r="U41" s="5"/>
      <c r="V41" s="5"/>
      <c r="W41" s="19"/>
      <c r="X41" s="4" t="str">
        <f aca="true">IF(AND(ISNUMBER(W41),W41&lt;TODAY()),"SÌ","")</f>
        <v/>
      </c>
      <c r="Y41" s="5"/>
      <c r="Z41" s="20" t="str">
        <f aca="false">IF(Y41="","",IFERROR(INDEX(Listino!$C$5:$C$7,MATCH(Y41,Listino!$A$5:$A$7,0)),""))</f>
        <v/>
      </c>
      <c r="AA41" s="5"/>
      <c r="AB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8" t="str">
        <f aca="false">IF(COUNTA(A42)=0,"",COUNTIF(F42:O42,1))</f>
        <v/>
      </c>
      <c r="Q42" s="4" t="str">
        <f aca="false">IF(COUNTA(A42)=0,"",COUNTBLANK(F42:O42))</f>
        <v/>
      </c>
      <c r="R42" s="4" t="str">
        <f aca="false">IF(P42="","",IF(P42&gt;=7,"Demo entro una settimana",IF(P42&gt;=4,"Un messaggio al mese","Archiviare")))</f>
        <v/>
      </c>
      <c r="S42" s="19"/>
      <c r="T42" s="5"/>
      <c r="U42" s="5"/>
      <c r="V42" s="5"/>
      <c r="W42" s="19"/>
      <c r="X42" s="4" t="str">
        <f aca="true">IF(AND(ISNUMBER(W42),W42&lt;TODAY()),"SÌ","")</f>
        <v/>
      </c>
      <c r="Y42" s="5"/>
      <c r="Z42" s="20" t="str">
        <f aca="false">IF(Y42="","",IFERROR(INDEX(Listino!$C$5:$C$7,MATCH(Y42,Listino!$A$5:$A$7,0)),""))</f>
        <v/>
      </c>
      <c r="AA42" s="5"/>
      <c r="AB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8" t="str">
        <f aca="false">IF(COUNTA(A43)=0,"",COUNTIF(F43:O43,1))</f>
        <v/>
      </c>
      <c r="Q43" s="4" t="str">
        <f aca="false">IF(COUNTA(A43)=0,"",COUNTBLANK(F43:O43))</f>
        <v/>
      </c>
      <c r="R43" s="4" t="str">
        <f aca="false">IF(P43="","",IF(P43&gt;=7,"Demo entro una settimana",IF(P43&gt;=4,"Un messaggio al mese","Archiviare")))</f>
        <v/>
      </c>
      <c r="S43" s="19"/>
      <c r="T43" s="5"/>
      <c r="U43" s="5"/>
      <c r="V43" s="5"/>
      <c r="W43" s="19"/>
      <c r="X43" s="4" t="str">
        <f aca="true">IF(AND(ISNUMBER(W43),W43&lt;TODAY()),"SÌ","")</f>
        <v/>
      </c>
      <c r="Y43" s="5"/>
      <c r="Z43" s="20" t="str">
        <f aca="false">IF(Y43="","",IFERROR(INDEX(Listino!$C$5:$C$7,MATCH(Y43,Listino!$A$5:$A$7,0)),""))</f>
        <v/>
      </c>
      <c r="AA43" s="5"/>
      <c r="AB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18" t="str">
        <f aca="false">IF(COUNTA(A44)=0,"",COUNTIF(F44:O44,1))</f>
        <v/>
      </c>
      <c r="Q44" s="4" t="str">
        <f aca="false">IF(COUNTA(A44)=0,"",COUNTBLANK(F44:O44))</f>
        <v/>
      </c>
      <c r="R44" s="4" t="str">
        <f aca="false">IF(P44="","",IF(P44&gt;=7,"Demo entro una settimana",IF(P44&gt;=4,"Un messaggio al mese","Archiviare")))</f>
        <v/>
      </c>
      <c r="S44" s="19"/>
      <c r="T44" s="5"/>
      <c r="U44" s="5"/>
      <c r="V44" s="5"/>
      <c r="W44" s="19"/>
      <c r="X44" s="4" t="str">
        <f aca="true">IF(AND(ISNUMBER(W44),W44&lt;TODAY()),"SÌ","")</f>
        <v/>
      </c>
      <c r="Y44" s="5"/>
      <c r="Z44" s="20" t="str">
        <f aca="false">IF(Y44="","",IFERROR(INDEX(Listino!$C$5:$C$7,MATCH(Y44,Listino!$A$5:$A$7,0)),""))</f>
        <v/>
      </c>
      <c r="AA44" s="5"/>
      <c r="AB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18" t="str">
        <f aca="false">IF(COUNTA(A45)=0,"",COUNTIF(F45:O45,1))</f>
        <v/>
      </c>
      <c r="Q45" s="4" t="str">
        <f aca="false">IF(COUNTA(A45)=0,"",COUNTBLANK(F45:O45))</f>
        <v/>
      </c>
      <c r="R45" s="4" t="str">
        <f aca="false">IF(P45="","",IF(P45&gt;=7,"Demo entro una settimana",IF(P45&gt;=4,"Un messaggio al mese","Archiviare")))</f>
        <v/>
      </c>
      <c r="S45" s="19"/>
      <c r="T45" s="5"/>
      <c r="U45" s="5"/>
      <c r="V45" s="5"/>
      <c r="W45" s="19"/>
      <c r="X45" s="4" t="str">
        <f aca="true">IF(AND(ISNUMBER(W45),W45&lt;TODAY()),"SÌ","")</f>
        <v/>
      </c>
      <c r="Y45" s="5"/>
      <c r="Z45" s="20" t="str">
        <f aca="false">IF(Y45="","",IFERROR(INDEX(Listino!$C$5:$C$7,MATCH(Y45,Listino!$A$5:$A$7,0)),""))</f>
        <v/>
      </c>
      <c r="AA45" s="5"/>
      <c r="AB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8" t="str">
        <f aca="false">IF(COUNTA(A46)=0,"",COUNTIF(F46:O46,1))</f>
        <v/>
      </c>
      <c r="Q46" s="4" t="str">
        <f aca="false">IF(COUNTA(A46)=0,"",COUNTBLANK(F46:O46))</f>
        <v/>
      </c>
      <c r="R46" s="4" t="str">
        <f aca="false">IF(P46="","",IF(P46&gt;=7,"Demo entro una settimana",IF(P46&gt;=4,"Un messaggio al mese","Archiviare")))</f>
        <v/>
      </c>
      <c r="S46" s="19"/>
      <c r="T46" s="5"/>
      <c r="U46" s="5"/>
      <c r="V46" s="5"/>
      <c r="W46" s="19"/>
      <c r="X46" s="4" t="str">
        <f aca="true">IF(AND(ISNUMBER(W46),W46&lt;TODAY()),"SÌ","")</f>
        <v/>
      </c>
      <c r="Y46" s="5"/>
      <c r="Z46" s="20" t="str">
        <f aca="false">IF(Y46="","",IFERROR(INDEX(Listino!$C$5:$C$7,MATCH(Y46,Listino!$A$5:$A$7,0)),""))</f>
        <v/>
      </c>
      <c r="AA46" s="5"/>
      <c r="AB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8" t="str">
        <f aca="false">IF(COUNTA(A47)=0,"",COUNTIF(F47:O47,1))</f>
        <v/>
      </c>
      <c r="Q47" s="4" t="str">
        <f aca="false">IF(COUNTA(A47)=0,"",COUNTBLANK(F47:O47))</f>
        <v/>
      </c>
      <c r="R47" s="4" t="str">
        <f aca="false">IF(P47="","",IF(P47&gt;=7,"Demo entro una settimana",IF(P47&gt;=4,"Un messaggio al mese","Archiviare")))</f>
        <v/>
      </c>
      <c r="S47" s="19"/>
      <c r="T47" s="5"/>
      <c r="U47" s="5"/>
      <c r="V47" s="5"/>
      <c r="W47" s="19"/>
      <c r="X47" s="4" t="str">
        <f aca="true">IF(AND(ISNUMBER(W47),W47&lt;TODAY()),"SÌ","")</f>
        <v/>
      </c>
      <c r="Y47" s="5"/>
      <c r="Z47" s="20" t="str">
        <f aca="false">IF(Y47="","",IFERROR(INDEX(Listino!$C$5:$C$7,MATCH(Y47,Listino!$A$5:$A$7,0)),""))</f>
        <v/>
      </c>
      <c r="AA47" s="5"/>
      <c r="AB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18" t="str">
        <f aca="false">IF(COUNTA(A48)=0,"",COUNTIF(F48:O48,1))</f>
        <v/>
      </c>
      <c r="Q48" s="4" t="str">
        <f aca="false">IF(COUNTA(A48)=0,"",COUNTBLANK(F48:O48))</f>
        <v/>
      </c>
      <c r="R48" s="4" t="str">
        <f aca="false">IF(P48="","",IF(P48&gt;=7,"Demo entro una settimana",IF(P48&gt;=4,"Un messaggio al mese","Archiviare")))</f>
        <v/>
      </c>
      <c r="S48" s="19"/>
      <c r="T48" s="5"/>
      <c r="U48" s="5"/>
      <c r="V48" s="5"/>
      <c r="W48" s="19"/>
      <c r="X48" s="4" t="str">
        <f aca="true">IF(AND(ISNUMBER(W48),W48&lt;TODAY()),"SÌ","")</f>
        <v/>
      </c>
      <c r="Y48" s="5"/>
      <c r="Z48" s="20" t="str">
        <f aca="false">IF(Y48="","",IFERROR(INDEX(Listino!$C$5:$C$7,MATCH(Y48,Listino!$A$5:$A$7,0)),""))</f>
        <v/>
      </c>
      <c r="AA48" s="5"/>
      <c r="AB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18" t="str">
        <f aca="false">IF(COUNTA(A49)=0,"",COUNTIF(F49:O49,1))</f>
        <v/>
      </c>
      <c r="Q49" s="4" t="str">
        <f aca="false">IF(COUNTA(A49)=0,"",COUNTBLANK(F49:O49))</f>
        <v/>
      </c>
      <c r="R49" s="4" t="str">
        <f aca="false">IF(P49="","",IF(P49&gt;=7,"Demo entro una settimana",IF(P49&gt;=4,"Un messaggio al mese","Archiviare")))</f>
        <v/>
      </c>
      <c r="S49" s="19"/>
      <c r="T49" s="5"/>
      <c r="U49" s="5"/>
      <c r="V49" s="5"/>
      <c r="W49" s="19"/>
      <c r="X49" s="4" t="str">
        <f aca="true">IF(AND(ISNUMBER(W49),W49&lt;TODAY()),"SÌ","")</f>
        <v/>
      </c>
      <c r="Y49" s="5"/>
      <c r="Z49" s="20" t="str">
        <f aca="false">IF(Y49="","",IFERROR(INDEX(Listino!$C$5:$C$7,MATCH(Y49,Listino!$A$5:$A$7,0)),""))</f>
        <v/>
      </c>
      <c r="AA49" s="5"/>
      <c r="AB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18" t="str">
        <f aca="false">IF(COUNTA(A50)=0,"",COUNTIF(F50:O50,1))</f>
        <v/>
      </c>
      <c r="Q50" s="4" t="str">
        <f aca="false">IF(COUNTA(A50)=0,"",COUNTBLANK(F50:O50))</f>
        <v/>
      </c>
      <c r="R50" s="4" t="str">
        <f aca="false">IF(P50="","",IF(P50&gt;=7,"Demo entro una settimana",IF(P50&gt;=4,"Un messaggio al mese","Archiviare")))</f>
        <v/>
      </c>
      <c r="S50" s="19"/>
      <c r="T50" s="5"/>
      <c r="U50" s="5"/>
      <c r="V50" s="5"/>
      <c r="W50" s="19"/>
      <c r="X50" s="4" t="str">
        <f aca="true">IF(AND(ISNUMBER(W50),W50&lt;TODAY()),"SÌ","")</f>
        <v/>
      </c>
      <c r="Y50" s="5"/>
      <c r="Z50" s="20" t="str">
        <f aca="false">IF(Y50="","",IFERROR(INDEX(Listino!$C$5:$C$7,MATCH(Y50,Listino!$A$5:$A$7,0)),""))</f>
        <v/>
      </c>
      <c r="AA50" s="5"/>
      <c r="AB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18" t="str">
        <f aca="false">IF(COUNTA(A51)=0,"",COUNTIF(F51:O51,1))</f>
        <v/>
      </c>
      <c r="Q51" s="4" t="str">
        <f aca="false">IF(COUNTA(A51)=0,"",COUNTBLANK(F51:O51))</f>
        <v/>
      </c>
      <c r="R51" s="4" t="str">
        <f aca="false">IF(P51="","",IF(P51&gt;=7,"Demo entro una settimana",IF(P51&gt;=4,"Un messaggio al mese","Archiviare")))</f>
        <v/>
      </c>
      <c r="S51" s="19"/>
      <c r="T51" s="5"/>
      <c r="U51" s="5"/>
      <c r="V51" s="5"/>
      <c r="W51" s="19"/>
      <c r="X51" s="4" t="str">
        <f aca="true">IF(AND(ISNUMBER(W51),W51&lt;TODAY()),"SÌ","")</f>
        <v/>
      </c>
      <c r="Y51" s="5"/>
      <c r="Z51" s="20" t="str">
        <f aca="false">IF(Y51="","",IFERROR(INDEX(Listino!$C$5:$C$7,MATCH(Y51,Listino!$A$5:$A$7,0)),""))</f>
        <v/>
      </c>
      <c r="AA51" s="5"/>
      <c r="AB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18" t="str">
        <f aca="false">IF(COUNTA(A52)=0,"",COUNTIF(F52:O52,1))</f>
        <v/>
      </c>
      <c r="Q52" s="4" t="str">
        <f aca="false">IF(COUNTA(A52)=0,"",COUNTBLANK(F52:O52))</f>
        <v/>
      </c>
      <c r="R52" s="4" t="str">
        <f aca="false">IF(P52="","",IF(P52&gt;=7,"Demo entro una settimana",IF(P52&gt;=4,"Un messaggio al mese","Archiviare")))</f>
        <v/>
      </c>
      <c r="S52" s="19"/>
      <c r="T52" s="5"/>
      <c r="U52" s="5"/>
      <c r="V52" s="5"/>
      <c r="W52" s="19"/>
      <c r="X52" s="4" t="str">
        <f aca="true">IF(AND(ISNUMBER(W52),W52&lt;TODAY()),"SÌ","")</f>
        <v/>
      </c>
      <c r="Y52" s="5"/>
      <c r="Z52" s="20" t="str">
        <f aca="false">IF(Y52="","",IFERROR(INDEX(Listino!$C$5:$C$7,MATCH(Y52,Listino!$A$5:$A$7,0)),""))</f>
        <v/>
      </c>
      <c r="AA52" s="5"/>
      <c r="AB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18" t="str">
        <f aca="false">IF(COUNTA(A53)=0,"",COUNTIF(F53:O53,1))</f>
        <v/>
      </c>
      <c r="Q53" s="4" t="str">
        <f aca="false">IF(COUNTA(A53)=0,"",COUNTBLANK(F53:O53))</f>
        <v/>
      </c>
      <c r="R53" s="4" t="str">
        <f aca="false">IF(P53="","",IF(P53&gt;=7,"Demo entro una settimana",IF(P53&gt;=4,"Un messaggio al mese","Archiviare")))</f>
        <v/>
      </c>
      <c r="S53" s="19"/>
      <c r="T53" s="5"/>
      <c r="U53" s="5"/>
      <c r="V53" s="5"/>
      <c r="W53" s="19"/>
      <c r="X53" s="4" t="str">
        <f aca="true">IF(AND(ISNUMBER(W53),W53&lt;TODAY()),"SÌ","")</f>
        <v/>
      </c>
      <c r="Y53" s="5"/>
      <c r="Z53" s="20" t="str">
        <f aca="false">IF(Y53="","",IFERROR(INDEX(Listino!$C$5:$C$7,MATCH(Y53,Listino!$A$5:$A$7,0)),""))</f>
        <v/>
      </c>
      <c r="AA53" s="5"/>
      <c r="AB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18" t="str">
        <f aca="false">IF(COUNTA(A54)=0,"",COUNTIF(F54:O54,1))</f>
        <v/>
      </c>
      <c r="Q54" s="4" t="str">
        <f aca="false">IF(COUNTA(A54)=0,"",COUNTBLANK(F54:O54))</f>
        <v/>
      </c>
      <c r="R54" s="4" t="str">
        <f aca="false">IF(P54="","",IF(P54&gt;=7,"Demo entro una settimana",IF(P54&gt;=4,"Un messaggio al mese","Archiviare")))</f>
        <v/>
      </c>
      <c r="S54" s="19"/>
      <c r="T54" s="5"/>
      <c r="U54" s="5"/>
      <c r="V54" s="5"/>
      <c r="W54" s="19"/>
      <c r="X54" s="4" t="str">
        <f aca="true">IF(AND(ISNUMBER(W54),W54&lt;TODAY()),"SÌ","")</f>
        <v/>
      </c>
      <c r="Y54" s="5"/>
      <c r="Z54" s="20" t="str">
        <f aca="false">IF(Y54="","",IFERROR(INDEX(Listino!$C$5:$C$7,MATCH(Y54,Listino!$A$5:$A$7,0)),""))</f>
        <v/>
      </c>
      <c r="AA54" s="5"/>
      <c r="AB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18" t="str">
        <f aca="false">IF(COUNTA(A55)=0,"",COUNTIF(F55:O55,1))</f>
        <v/>
      </c>
      <c r="Q55" s="4" t="str">
        <f aca="false">IF(COUNTA(A55)=0,"",COUNTBLANK(F55:O55))</f>
        <v/>
      </c>
      <c r="R55" s="4" t="str">
        <f aca="false">IF(P55="","",IF(P55&gt;=7,"Demo entro una settimana",IF(P55&gt;=4,"Un messaggio al mese","Archiviare")))</f>
        <v/>
      </c>
      <c r="S55" s="19"/>
      <c r="T55" s="5"/>
      <c r="U55" s="5"/>
      <c r="V55" s="5"/>
      <c r="W55" s="19"/>
      <c r="X55" s="4" t="str">
        <f aca="true">IF(AND(ISNUMBER(W55),W55&lt;TODAY()),"SÌ","")</f>
        <v/>
      </c>
      <c r="Y55" s="5"/>
      <c r="Z55" s="20" t="str">
        <f aca="false">IF(Y55="","",IFERROR(INDEX(Listino!$C$5:$C$7,MATCH(Y55,Listino!$A$5:$A$7,0)),""))</f>
        <v/>
      </c>
      <c r="AA55" s="5"/>
      <c r="AB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8" t="str">
        <f aca="false">IF(COUNTA(A56)=0,"",COUNTIF(F56:O56,1))</f>
        <v/>
      </c>
      <c r="Q56" s="4" t="str">
        <f aca="false">IF(COUNTA(A56)=0,"",COUNTBLANK(F56:O56))</f>
        <v/>
      </c>
      <c r="R56" s="4" t="str">
        <f aca="false">IF(P56="","",IF(P56&gt;=7,"Demo entro una settimana",IF(P56&gt;=4,"Un messaggio al mese","Archiviare")))</f>
        <v/>
      </c>
      <c r="S56" s="19"/>
      <c r="T56" s="5"/>
      <c r="U56" s="5"/>
      <c r="V56" s="5"/>
      <c r="W56" s="19"/>
      <c r="X56" s="4" t="str">
        <f aca="true">IF(AND(ISNUMBER(W56),W56&lt;TODAY()),"SÌ","")</f>
        <v/>
      </c>
      <c r="Y56" s="5"/>
      <c r="Z56" s="20" t="str">
        <f aca="false">IF(Y56="","",IFERROR(INDEX(Listino!$C$5:$C$7,MATCH(Y56,Listino!$A$5:$A$7,0)),""))</f>
        <v/>
      </c>
      <c r="AA56" s="5"/>
      <c r="AB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8" t="str">
        <f aca="false">IF(COUNTA(A57)=0,"",COUNTIF(F57:O57,1))</f>
        <v/>
      </c>
      <c r="Q57" s="4" t="str">
        <f aca="false">IF(COUNTA(A57)=0,"",COUNTBLANK(F57:O57))</f>
        <v/>
      </c>
      <c r="R57" s="4" t="str">
        <f aca="false">IF(P57="","",IF(P57&gt;=7,"Demo entro una settimana",IF(P57&gt;=4,"Un messaggio al mese","Archiviare")))</f>
        <v/>
      </c>
      <c r="S57" s="19"/>
      <c r="T57" s="5"/>
      <c r="U57" s="5"/>
      <c r="V57" s="5"/>
      <c r="W57" s="19"/>
      <c r="X57" s="4" t="str">
        <f aca="true">IF(AND(ISNUMBER(W57),W57&lt;TODAY()),"SÌ","")</f>
        <v/>
      </c>
      <c r="Y57" s="5"/>
      <c r="Z57" s="20" t="str">
        <f aca="false">IF(Y57="","",IFERROR(INDEX(Listino!$C$5:$C$7,MATCH(Y57,Listino!$A$5:$A$7,0)),""))</f>
        <v/>
      </c>
      <c r="AA57" s="5"/>
      <c r="AB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18" t="str">
        <f aca="false">IF(COUNTA(A58)=0,"",COUNTIF(F58:O58,1))</f>
        <v/>
      </c>
      <c r="Q58" s="4" t="str">
        <f aca="false">IF(COUNTA(A58)=0,"",COUNTBLANK(F58:O58))</f>
        <v/>
      </c>
      <c r="R58" s="4" t="str">
        <f aca="false">IF(P58="","",IF(P58&gt;=7,"Demo entro una settimana",IF(P58&gt;=4,"Un messaggio al mese","Archiviare")))</f>
        <v/>
      </c>
      <c r="S58" s="19"/>
      <c r="T58" s="5"/>
      <c r="U58" s="5"/>
      <c r="V58" s="5"/>
      <c r="W58" s="19"/>
      <c r="X58" s="4" t="str">
        <f aca="true">IF(AND(ISNUMBER(W58),W58&lt;TODAY()),"SÌ","")</f>
        <v/>
      </c>
      <c r="Y58" s="5"/>
      <c r="Z58" s="20" t="str">
        <f aca="false">IF(Y58="","",IFERROR(INDEX(Listino!$C$5:$C$7,MATCH(Y58,Listino!$A$5:$A$7,0)),""))</f>
        <v/>
      </c>
      <c r="AA58" s="5"/>
      <c r="AB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18" t="str">
        <f aca="false">IF(COUNTA(A59)=0,"",COUNTIF(F59:O59,1))</f>
        <v/>
      </c>
      <c r="Q59" s="4" t="str">
        <f aca="false">IF(COUNTA(A59)=0,"",COUNTBLANK(F59:O59))</f>
        <v/>
      </c>
      <c r="R59" s="4" t="str">
        <f aca="false">IF(P59="","",IF(P59&gt;=7,"Demo entro una settimana",IF(P59&gt;=4,"Un messaggio al mese","Archiviare")))</f>
        <v/>
      </c>
      <c r="S59" s="19"/>
      <c r="T59" s="5"/>
      <c r="U59" s="5"/>
      <c r="V59" s="5"/>
      <c r="W59" s="19"/>
      <c r="X59" s="4" t="str">
        <f aca="true">IF(AND(ISNUMBER(W59),W59&lt;TODAY()),"SÌ","")</f>
        <v/>
      </c>
      <c r="Y59" s="5"/>
      <c r="Z59" s="20" t="str">
        <f aca="false">IF(Y59="","",IFERROR(INDEX(Listino!$C$5:$C$7,MATCH(Y59,Listino!$A$5:$A$7,0)),""))</f>
        <v/>
      </c>
      <c r="AA59" s="5"/>
      <c r="AB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18" t="str">
        <f aca="false">IF(COUNTA(A60)=0,"",COUNTIF(F60:O60,1))</f>
        <v/>
      </c>
      <c r="Q60" s="4" t="str">
        <f aca="false">IF(COUNTA(A60)=0,"",COUNTBLANK(F60:O60))</f>
        <v/>
      </c>
      <c r="R60" s="4" t="str">
        <f aca="false">IF(P60="","",IF(P60&gt;=7,"Demo entro una settimana",IF(P60&gt;=4,"Un messaggio al mese","Archiviare")))</f>
        <v/>
      </c>
      <c r="S60" s="19"/>
      <c r="T60" s="5"/>
      <c r="U60" s="5"/>
      <c r="V60" s="5"/>
      <c r="W60" s="19"/>
      <c r="X60" s="4" t="str">
        <f aca="true">IF(AND(ISNUMBER(W60),W60&lt;TODAY()),"SÌ","")</f>
        <v/>
      </c>
      <c r="Y60" s="5"/>
      <c r="Z60" s="20" t="str">
        <f aca="false">IF(Y60="","",IFERROR(INDEX(Listino!$C$5:$C$7,MATCH(Y60,Listino!$A$5:$A$7,0)),""))</f>
        <v/>
      </c>
      <c r="AA60" s="5"/>
      <c r="AB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18" t="str">
        <f aca="false">IF(COUNTA(A61)=0,"",COUNTIF(F61:O61,1))</f>
        <v/>
      </c>
      <c r="Q61" s="4" t="str">
        <f aca="false">IF(COUNTA(A61)=0,"",COUNTBLANK(F61:O61))</f>
        <v/>
      </c>
      <c r="R61" s="4" t="str">
        <f aca="false">IF(P61="","",IF(P61&gt;=7,"Demo entro una settimana",IF(P61&gt;=4,"Un messaggio al mese","Archiviare")))</f>
        <v/>
      </c>
      <c r="S61" s="19"/>
      <c r="T61" s="5"/>
      <c r="U61" s="5"/>
      <c r="V61" s="5"/>
      <c r="W61" s="19"/>
      <c r="X61" s="4" t="str">
        <f aca="true">IF(AND(ISNUMBER(W61),W61&lt;TODAY()),"SÌ","")</f>
        <v/>
      </c>
      <c r="Y61" s="5"/>
      <c r="Z61" s="20" t="str">
        <f aca="false">IF(Y61="","",IFERROR(INDEX(Listino!$C$5:$C$7,MATCH(Y61,Listino!$A$5:$A$7,0)),""))</f>
        <v/>
      </c>
      <c r="AA61" s="5"/>
      <c r="AB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18" t="str">
        <f aca="false">IF(COUNTA(A62)=0,"",COUNTIF(F62:O62,1))</f>
        <v/>
      </c>
      <c r="Q62" s="4" t="str">
        <f aca="false">IF(COUNTA(A62)=0,"",COUNTBLANK(F62:O62))</f>
        <v/>
      </c>
      <c r="R62" s="4" t="str">
        <f aca="false">IF(P62="","",IF(P62&gt;=7,"Demo entro una settimana",IF(P62&gt;=4,"Un messaggio al mese","Archiviare")))</f>
        <v/>
      </c>
      <c r="S62" s="19"/>
      <c r="T62" s="5"/>
      <c r="U62" s="5"/>
      <c r="V62" s="5"/>
      <c r="W62" s="19"/>
      <c r="X62" s="4" t="str">
        <f aca="true">IF(AND(ISNUMBER(W62),W62&lt;TODAY()),"SÌ","")</f>
        <v/>
      </c>
      <c r="Y62" s="5"/>
      <c r="Z62" s="20" t="str">
        <f aca="false">IF(Y62="","",IFERROR(INDEX(Listino!$C$5:$C$7,MATCH(Y62,Listino!$A$5:$A$7,0)),""))</f>
        <v/>
      </c>
      <c r="AA62" s="5"/>
      <c r="AB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18" t="str">
        <f aca="false">IF(COUNTA(A63)=0,"",COUNTIF(F63:O63,1))</f>
        <v/>
      </c>
      <c r="Q63" s="4" t="str">
        <f aca="false">IF(COUNTA(A63)=0,"",COUNTBLANK(F63:O63))</f>
        <v/>
      </c>
      <c r="R63" s="4" t="str">
        <f aca="false">IF(P63="","",IF(P63&gt;=7,"Demo entro una settimana",IF(P63&gt;=4,"Un messaggio al mese","Archiviare")))</f>
        <v/>
      </c>
      <c r="S63" s="19"/>
      <c r="T63" s="5"/>
      <c r="U63" s="5"/>
      <c r="V63" s="5"/>
      <c r="W63" s="19"/>
      <c r="X63" s="4" t="str">
        <f aca="true">IF(AND(ISNUMBER(W63),W63&lt;TODAY()),"SÌ","")</f>
        <v/>
      </c>
      <c r="Y63" s="5"/>
      <c r="Z63" s="20" t="str">
        <f aca="false">IF(Y63="","",IFERROR(INDEX(Listino!$C$5:$C$7,MATCH(Y63,Listino!$A$5:$A$7,0)),""))</f>
        <v/>
      </c>
      <c r="AA63" s="5"/>
      <c r="AB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18" t="str">
        <f aca="false">IF(COUNTA(A64)=0,"",COUNTIF(F64:O64,1))</f>
        <v/>
      </c>
      <c r="Q64" s="4" t="str">
        <f aca="false">IF(COUNTA(A64)=0,"",COUNTBLANK(F64:O64))</f>
        <v/>
      </c>
      <c r="R64" s="4" t="str">
        <f aca="false">IF(P64="","",IF(P64&gt;=7,"Demo entro una settimana",IF(P64&gt;=4,"Un messaggio al mese","Archiviare")))</f>
        <v/>
      </c>
      <c r="S64" s="19"/>
      <c r="T64" s="5"/>
      <c r="U64" s="5"/>
      <c r="V64" s="5"/>
      <c r="W64" s="19"/>
      <c r="X64" s="4" t="str">
        <f aca="true">IF(AND(ISNUMBER(W64),W64&lt;TODAY()),"SÌ","")</f>
        <v/>
      </c>
      <c r="Y64" s="5"/>
      <c r="Z64" s="20" t="str">
        <f aca="false">IF(Y64="","",IFERROR(INDEX(Listino!$C$5:$C$7,MATCH(Y64,Listino!$A$5:$A$7,0)),""))</f>
        <v/>
      </c>
      <c r="AA64" s="5"/>
      <c r="AB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18" t="str">
        <f aca="false">IF(COUNTA(A65)=0,"",COUNTIF(F65:O65,1))</f>
        <v/>
      </c>
      <c r="Q65" s="4" t="str">
        <f aca="false">IF(COUNTA(A65)=0,"",COUNTBLANK(F65:O65))</f>
        <v/>
      </c>
      <c r="R65" s="4" t="str">
        <f aca="false">IF(P65="","",IF(P65&gt;=7,"Demo entro una settimana",IF(P65&gt;=4,"Un messaggio al mese","Archiviare")))</f>
        <v/>
      </c>
      <c r="S65" s="19"/>
      <c r="T65" s="5"/>
      <c r="U65" s="5"/>
      <c r="V65" s="5"/>
      <c r="W65" s="19"/>
      <c r="X65" s="4" t="str">
        <f aca="true">IF(AND(ISNUMBER(W65),W65&lt;TODAY()),"SÌ","")</f>
        <v/>
      </c>
      <c r="Y65" s="5"/>
      <c r="Z65" s="20" t="str">
        <f aca="false">IF(Y65="","",IFERROR(INDEX(Listino!$C$5:$C$7,MATCH(Y65,Listino!$A$5:$A$7,0)),""))</f>
        <v/>
      </c>
      <c r="AA65" s="5"/>
      <c r="AB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18" t="str">
        <f aca="false">IF(COUNTA(A66)=0,"",COUNTIF(F66:O66,1))</f>
        <v/>
      </c>
      <c r="Q66" s="4" t="str">
        <f aca="false">IF(COUNTA(A66)=0,"",COUNTBLANK(F66:O66))</f>
        <v/>
      </c>
      <c r="R66" s="4" t="str">
        <f aca="false">IF(P66="","",IF(P66&gt;=7,"Demo entro una settimana",IF(P66&gt;=4,"Un messaggio al mese","Archiviare")))</f>
        <v/>
      </c>
      <c r="S66" s="19"/>
      <c r="T66" s="5"/>
      <c r="U66" s="5"/>
      <c r="V66" s="5"/>
      <c r="W66" s="19"/>
      <c r="X66" s="4" t="str">
        <f aca="true">IF(AND(ISNUMBER(W66),W66&lt;TODAY()),"SÌ","")</f>
        <v/>
      </c>
      <c r="Y66" s="5"/>
      <c r="Z66" s="20" t="str">
        <f aca="false">IF(Y66="","",IFERROR(INDEX(Listino!$C$5:$C$7,MATCH(Y66,Listino!$A$5:$A$7,0)),""))</f>
        <v/>
      </c>
      <c r="AA66" s="5"/>
      <c r="AB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18" t="str">
        <f aca="false">IF(COUNTA(A67)=0,"",COUNTIF(F67:O67,1))</f>
        <v/>
      </c>
      <c r="Q67" s="4" t="str">
        <f aca="false">IF(COUNTA(A67)=0,"",COUNTBLANK(F67:O67))</f>
        <v/>
      </c>
      <c r="R67" s="4" t="str">
        <f aca="false">IF(P67="","",IF(P67&gt;=7,"Demo entro una settimana",IF(P67&gt;=4,"Un messaggio al mese","Archiviare")))</f>
        <v/>
      </c>
      <c r="S67" s="19"/>
      <c r="T67" s="5"/>
      <c r="U67" s="5"/>
      <c r="V67" s="5"/>
      <c r="W67" s="19"/>
      <c r="X67" s="4" t="str">
        <f aca="true">IF(AND(ISNUMBER(W67),W67&lt;TODAY()),"SÌ","")</f>
        <v/>
      </c>
      <c r="Y67" s="5"/>
      <c r="Z67" s="20" t="str">
        <f aca="false">IF(Y67="","",IFERROR(INDEX(Listino!$C$5:$C$7,MATCH(Y67,Listino!$A$5:$A$7,0)),""))</f>
        <v/>
      </c>
      <c r="AA67" s="5"/>
      <c r="AB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18" t="str">
        <f aca="false">IF(COUNTA(A68)=0,"",COUNTIF(F68:O68,1))</f>
        <v/>
      </c>
      <c r="Q68" s="4" t="str">
        <f aca="false">IF(COUNTA(A68)=0,"",COUNTBLANK(F68:O68))</f>
        <v/>
      </c>
      <c r="R68" s="4" t="str">
        <f aca="false">IF(P68="","",IF(P68&gt;=7,"Demo entro una settimana",IF(P68&gt;=4,"Un messaggio al mese","Archiviare")))</f>
        <v/>
      </c>
      <c r="S68" s="19"/>
      <c r="T68" s="5"/>
      <c r="U68" s="5"/>
      <c r="V68" s="5"/>
      <c r="W68" s="19"/>
      <c r="X68" s="4" t="str">
        <f aca="true">IF(AND(ISNUMBER(W68),W68&lt;TODAY()),"SÌ","")</f>
        <v/>
      </c>
      <c r="Y68" s="5"/>
      <c r="Z68" s="20" t="str">
        <f aca="false">IF(Y68="","",IFERROR(INDEX(Listino!$C$5:$C$7,MATCH(Y68,Listino!$A$5:$A$7,0)),""))</f>
        <v/>
      </c>
      <c r="AA68" s="5"/>
      <c r="AB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18" t="str">
        <f aca="false">IF(COUNTA(A69)=0,"",COUNTIF(F69:O69,1))</f>
        <v/>
      </c>
      <c r="Q69" s="4" t="str">
        <f aca="false">IF(COUNTA(A69)=0,"",COUNTBLANK(F69:O69))</f>
        <v/>
      </c>
      <c r="R69" s="4" t="str">
        <f aca="false">IF(P69="","",IF(P69&gt;=7,"Demo entro una settimana",IF(P69&gt;=4,"Un messaggio al mese","Archiviare")))</f>
        <v/>
      </c>
      <c r="S69" s="19"/>
      <c r="T69" s="5"/>
      <c r="U69" s="5"/>
      <c r="V69" s="5"/>
      <c r="W69" s="19"/>
      <c r="X69" s="4" t="str">
        <f aca="true">IF(AND(ISNUMBER(W69),W69&lt;TODAY()),"SÌ","")</f>
        <v/>
      </c>
      <c r="Y69" s="5"/>
      <c r="Z69" s="20" t="str">
        <f aca="false">IF(Y69="","",IFERROR(INDEX(Listino!$C$5:$C$7,MATCH(Y69,Listino!$A$5:$A$7,0)),""))</f>
        <v/>
      </c>
      <c r="AA69" s="5"/>
      <c r="AB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18" t="str">
        <f aca="false">IF(COUNTA(A70)=0,"",COUNTIF(F70:O70,1))</f>
        <v/>
      </c>
      <c r="Q70" s="4" t="str">
        <f aca="false">IF(COUNTA(A70)=0,"",COUNTBLANK(F70:O70))</f>
        <v/>
      </c>
      <c r="R70" s="4" t="str">
        <f aca="false">IF(P70="","",IF(P70&gt;=7,"Demo entro una settimana",IF(P70&gt;=4,"Un messaggio al mese","Archiviare")))</f>
        <v/>
      </c>
      <c r="S70" s="19"/>
      <c r="T70" s="5"/>
      <c r="U70" s="5"/>
      <c r="V70" s="5"/>
      <c r="W70" s="19"/>
      <c r="X70" s="4" t="str">
        <f aca="true">IF(AND(ISNUMBER(W70),W70&lt;TODAY()),"SÌ","")</f>
        <v/>
      </c>
      <c r="Y70" s="5"/>
      <c r="Z70" s="20" t="str">
        <f aca="false">IF(Y70="","",IFERROR(INDEX(Listino!$C$5:$C$7,MATCH(Y70,Listino!$A$5:$A$7,0)),""))</f>
        <v/>
      </c>
      <c r="AA70" s="5"/>
      <c r="AB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8" t="str">
        <f aca="false">IF(COUNTA(A71)=0,"",COUNTIF(F71:O71,1))</f>
        <v/>
      </c>
      <c r="Q71" s="4" t="str">
        <f aca="false">IF(COUNTA(A71)=0,"",COUNTBLANK(F71:O71))</f>
        <v/>
      </c>
      <c r="R71" s="4" t="str">
        <f aca="false">IF(P71="","",IF(P71&gt;=7,"Demo entro una settimana",IF(P71&gt;=4,"Un messaggio al mese","Archiviare")))</f>
        <v/>
      </c>
      <c r="S71" s="19"/>
      <c r="T71" s="5"/>
      <c r="U71" s="5"/>
      <c r="V71" s="5"/>
      <c r="W71" s="19"/>
      <c r="X71" s="4" t="str">
        <f aca="true">IF(AND(ISNUMBER(W71),W71&lt;TODAY()),"SÌ","")</f>
        <v/>
      </c>
      <c r="Y71" s="5"/>
      <c r="Z71" s="20" t="str">
        <f aca="false">IF(Y71="","",IFERROR(INDEX(Listino!$C$5:$C$7,MATCH(Y71,Listino!$A$5:$A$7,0)),""))</f>
        <v/>
      </c>
      <c r="AA71" s="5"/>
      <c r="AB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18" t="str">
        <f aca="false">IF(COUNTA(A72)=0,"",COUNTIF(F72:O72,1))</f>
        <v/>
      </c>
      <c r="Q72" s="4" t="str">
        <f aca="false">IF(COUNTA(A72)=0,"",COUNTBLANK(F72:O72))</f>
        <v/>
      </c>
      <c r="R72" s="4" t="str">
        <f aca="false">IF(P72="","",IF(P72&gt;=7,"Demo entro una settimana",IF(P72&gt;=4,"Un messaggio al mese","Archiviare")))</f>
        <v/>
      </c>
      <c r="S72" s="19"/>
      <c r="T72" s="5"/>
      <c r="U72" s="5"/>
      <c r="V72" s="5"/>
      <c r="W72" s="19"/>
      <c r="X72" s="4" t="str">
        <f aca="true">IF(AND(ISNUMBER(W72),W72&lt;TODAY()),"SÌ","")</f>
        <v/>
      </c>
      <c r="Y72" s="5"/>
      <c r="Z72" s="20" t="str">
        <f aca="false">IF(Y72="","",IFERROR(INDEX(Listino!$C$5:$C$7,MATCH(Y72,Listino!$A$5:$A$7,0)),""))</f>
        <v/>
      </c>
      <c r="AA72" s="5"/>
      <c r="AB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8" t="str">
        <f aca="false">IF(COUNTA(A73)=0,"",COUNTIF(F73:O73,1))</f>
        <v/>
      </c>
      <c r="Q73" s="4" t="str">
        <f aca="false">IF(COUNTA(A73)=0,"",COUNTBLANK(F73:O73))</f>
        <v/>
      </c>
      <c r="R73" s="4" t="str">
        <f aca="false">IF(P73="","",IF(P73&gt;=7,"Demo entro una settimana",IF(P73&gt;=4,"Un messaggio al mese","Archiviare")))</f>
        <v/>
      </c>
      <c r="S73" s="19"/>
      <c r="T73" s="5"/>
      <c r="U73" s="5"/>
      <c r="V73" s="5"/>
      <c r="W73" s="19"/>
      <c r="X73" s="4" t="str">
        <f aca="true">IF(AND(ISNUMBER(W73),W73&lt;TODAY()),"SÌ","")</f>
        <v/>
      </c>
      <c r="Y73" s="5"/>
      <c r="Z73" s="20" t="str">
        <f aca="false">IF(Y73="","",IFERROR(INDEX(Listino!$C$5:$C$7,MATCH(Y73,Listino!$A$5:$A$7,0)),""))</f>
        <v/>
      </c>
      <c r="AA73" s="5"/>
      <c r="AB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18" t="str">
        <f aca="false">IF(COUNTA(A74)=0,"",COUNTIF(F74:O74,1))</f>
        <v/>
      </c>
      <c r="Q74" s="4" t="str">
        <f aca="false">IF(COUNTA(A74)=0,"",COUNTBLANK(F74:O74))</f>
        <v/>
      </c>
      <c r="R74" s="4" t="str">
        <f aca="false">IF(P74="","",IF(P74&gt;=7,"Demo entro una settimana",IF(P74&gt;=4,"Un messaggio al mese","Archiviare")))</f>
        <v/>
      </c>
      <c r="S74" s="19"/>
      <c r="T74" s="5"/>
      <c r="U74" s="5"/>
      <c r="V74" s="5"/>
      <c r="W74" s="19"/>
      <c r="X74" s="4" t="str">
        <f aca="true">IF(AND(ISNUMBER(W74),W74&lt;TODAY()),"SÌ","")</f>
        <v/>
      </c>
      <c r="Y74" s="5"/>
      <c r="Z74" s="20" t="str">
        <f aca="false">IF(Y74="","",IFERROR(INDEX(Listino!$C$5:$C$7,MATCH(Y74,Listino!$A$5:$A$7,0)),""))</f>
        <v/>
      </c>
      <c r="AA74" s="5"/>
      <c r="AB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18" t="str">
        <f aca="false">IF(COUNTA(A75)=0,"",COUNTIF(F75:O75,1))</f>
        <v/>
      </c>
      <c r="Q75" s="4" t="str">
        <f aca="false">IF(COUNTA(A75)=0,"",COUNTBLANK(F75:O75))</f>
        <v/>
      </c>
      <c r="R75" s="4" t="str">
        <f aca="false">IF(P75="","",IF(P75&gt;=7,"Demo entro una settimana",IF(P75&gt;=4,"Un messaggio al mese","Archiviare")))</f>
        <v/>
      </c>
      <c r="S75" s="19"/>
      <c r="T75" s="5"/>
      <c r="U75" s="5"/>
      <c r="V75" s="5"/>
      <c r="W75" s="19"/>
      <c r="X75" s="4" t="str">
        <f aca="true">IF(AND(ISNUMBER(W75),W75&lt;TODAY()),"SÌ","")</f>
        <v/>
      </c>
      <c r="Y75" s="5"/>
      <c r="Z75" s="20" t="str">
        <f aca="false">IF(Y75="","",IFERROR(INDEX(Listino!$C$5:$C$7,MATCH(Y75,Listino!$A$5:$A$7,0)),""))</f>
        <v/>
      </c>
      <c r="AA75" s="5"/>
      <c r="AB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18" t="str">
        <f aca="false">IF(COUNTA(A76)=0,"",COUNTIF(F76:O76,1))</f>
        <v/>
      </c>
      <c r="Q76" s="4" t="str">
        <f aca="false">IF(COUNTA(A76)=0,"",COUNTBLANK(F76:O76))</f>
        <v/>
      </c>
      <c r="R76" s="4" t="str">
        <f aca="false">IF(P76="","",IF(P76&gt;=7,"Demo entro una settimana",IF(P76&gt;=4,"Un messaggio al mese","Archiviare")))</f>
        <v/>
      </c>
      <c r="S76" s="19"/>
      <c r="T76" s="5"/>
      <c r="U76" s="5"/>
      <c r="V76" s="5"/>
      <c r="W76" s="19"/>
      <c r="X76" s="4" t="str">
        <f aca="true">IF(AND(ISNUMBER(W76),W76&lt;TODAY()),"SÌ","")</f>
        <v/>
      </c>
      <c r="Y76" s="5"/>
      <c r="Z76" s="20" t="str">
        <f aca="false">IF(Y76="","",IFERROR(INDEX(Listino!$C$5:$C$7,MATCH(Y76,Listino!$A$5:$A$7,0)),""))</f>
        <v/>
      </c>
      <c r="AA76" s="5"/>
      <c r="AB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18" t="str">
        <f aca="false">IF(COUNTA(A77)=0,"",COUNTIF(F77:O77,1))</f>
        <v/>
      </c>
      <c r="Q77" s="4" t="str">
        <f aca="false">IF(COUNTA(A77)=0,"",COUNTBLANK(F77:O77))</f>
        <v/>
      </c>
      <c r="R77" s="4" t="str">
        <f aca="false">IF(P77="","",IF(P77&gt;=7,"Demo entro una settimana",IF(P77&gt;=4,"Un messaggio al mese","Archiviare")))</f>
        <v/>
      </c>
      <c r="S77" s="19"/>
      <c r="T77" s="5"/>
      <c r="U77" s="5"/>
      <c r="V77" s="5"/>
      <c r="W77" s="19"/>
      <c r="X77" s="4" t="str">
        <f aca="true">IF(AND(ISNUMBER(W77),W77&lt;TODAY()),"SÌ","")</f>
        <v/>
      </c>
      <c r="Y77" s="5"/>
      <c r="Z77" s="20" t="str">
        <f aca="false">IF(Y77="","",IFERROR(INDEX(Listino!$C$5:$C$7,MATCH(Y77,Listino!$A$5:$A$7,0)),""))</f>
        <v/>
      </c>
      <c r="AA77" s="5"/>
      <c r="AB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8" t="str">
        <f aca="false">IF(COUNTA(A78)=0,"",COUNTIF(F78:O78,1))</f>
        <v/>
      </c>
      <c r="Q78" s="4" t="str">
        <f aca="false">IF(COUNTA(A78)=0,"",COUNTBLANK(F78:O78))</f>
        <v/>
      </c>
      <c r="R78" s="4" t="str">
        <f aca="false">IF(P78="","",IF(P78&gt;=7,"Demo entro una settimana",IF(P78&gt;=4,"Un messaggio al mese","Archiviare")))</f>
        <v/>
      </c>
      <c r="S78" s="19"/>
      <c r="T78" s="5"/>
      <c r="U78" s="5"/>
      <c r="V78" s="5"/>
      <c r="W78" s="19"/>
      <c r="X78" s="4" t="str">
        <f aca="true">IF(AND(ISNUMBER(W78),W78&lt;TODAY()),"SÌ","")</f>
        <v/>
      </c>
      <c r="Y78" s="5"/>
      <c r="Z78" s="20" t="str">
        <f aca="false">IF(Y78="","",IFERROR(INDEX(Listino!$C$5:$C$7,MATCH(Y78,Listino!$A$5:$A$7,0)),""))</f>
        <v/>
      </c>
      <c r="AA78" s="5"/>
      <c r="AB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18" t="str">
        <f aca="false">IF(COUNTA(A79)=0,"",COUNTIF(F79:O79,1))</f>
        <v/>
      </c>
      <c r="Q79" s="4" t="str">
        <f aca="false">IF(COUNTA(A79)=0,"",COUNTBLANK(F79:O79))</f>
        <v/>
      </c>
      <c r="R79" s="4" t="str">
        <f aca="false">IF(P79="","",IF(P79&gt;=7,"Demo entro una settimana",IF(P79&gt;=4,"Un messaggio al mese","Archiviare")))</f>
        <v/>
      </c>
      <c r="S79" s="19"/>
      <c r="T79" s="5"/>
      <c r="U79" s="5"/>
      <c r="V79" s="5"/>
      <c r="W79" s="19"/>
      <c r="X79" s="4" t="str">
        <f aca="true">IF(AND(ISNUMBER(W79),W79&lt;TODAY()),"SÌ","")</f>
        <v/>
      </c>
      <c r="Y79" s="5"/>
      <c r="Z79" s="20" t="str">
        <f aca="false">IF(Y79="","",IFERROR(INDEX(Listino!$C$5:$C$7,MATCH(Y79,Listino!$A$5:$A$7,0)),""))</f>
        <v/>
      </c>
      <c r="AA79" s="5"/>
      <c r="AB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18" t="str">
        <f aca="false">IF(COUNTA(A80)=0,"",COUNTIF(F80:O80,1))</f>
        <v/>
      </c>
      <c r="Q80" s="4" t="str">
        <f aca="false">IF(COUNTA(A80)=0,"",COUNTBLANK(F80:O80))</f>
        <v/>
      </c>
      <c r="R80" s="4" t="str">
        <f aca="false">IF(P80="","",IF(P80&gt;=7,"Demo entro una settimana",IF(P80&gt;=4,"Un messaggio al mese","Archiviare")))</f>
        <v/>
      </c>
      <c r="S80" s="19"/>
      <c r="T80" s="5"/>
      <c r="U80" s="5"/>
      <c r="V80" s="5"/>
      <c r="W80" s="19"/>
      <c r="X80" s="4" t="str">
        <f aca="true">IF(AND(ISNUMBER(W80),W80&lt;TODAY()),"SÌ","")</f>
        <v/>
      </c>
      <c r="Y80" s="5"/>
      <c r="Z80" s="20" t="str">
        <f aca="false">IF(Y80="","",IFERROR(INDEX(Listino!$C$5:$C$7,MATCH(Y80,Listino!$A$5:$A$7,0)),""))</f>
        <v/>
      </c>
      <c r="AA80" s="5"/>
      <c r="AB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18" t="str">
        <f aca="false">IF(COUNTA(A81)=0,"",COUNTIF(F81:O81,1))</f>
        <v/>
      </c>
      <c r="Q81" s="4" t="str">
        <f aca="false">IF(COUNTA(A81)=0,"",COUNTBLANK(F81:O81))</f>
        <v/>
      </c>
      <c r="R81" s="4" t="str">
        <f aca="false">IF(P81="","",IF(P81&gt;=7,"Demo entro una settimana",IF(P81&gt;=4,"Un messaggio al mese","Archiviare")))</f>
        <v/>
      </c>
      <c r="S81" s="19"/>
      <c r="T81" s="5"/>
      <c r="U81" s="5"/>
      <c r="V81" s="5"/>
      <c r="W81" s="19"/>
      <c r="X81" s="4" t="str">
        <f aca="true">IF(AND(ISNUMBER(W81),W81&lt;TODAY()),"SÌ","")</f>
        <v/>
      </c>
      <c r="Y81" s="5"/>
      <c r="Z81" s="20" t="str">
        <f aca="false">IF(Y81="","",IFERROR(INDEX(Listino!$C$5:$C$7,MATCH(Y81,Listino!$A$5:$A$7,0)),""))</f>
        <v/>
      </c>
      <c r="AA81" s="5"/>
      <c r="AB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18" t="str">
        <f aca="false">IF(COUNTA(A82)=0,"",COUNTIF(F82:O82,1))</f>
        <v/>
      </c>
      <c r="Q82" s="4" t="str">
        <f aca="false">IF(COUNTA(A82)=0,"",COUNTBLANK(F82:O82))</f>
        <v/>
      </c>
      <c r="R82" s="4" t="str">
        <f aca="false">IF(P82="","",IF(P82&gt;=7,"Demo entro una settimana",IF(P82&gt;=4,"Un messaggio al mese","Archiviare")))</f>
        <v/>
      </c>
      <c r="S82" s="19"/>
      <c r="T82" s="5"/>
      <c r="U82" s="5"/>
      <c r="V82" s="5"/>
      <c r="W82" s="19"/>
      <c r="X82" s="4" t="str">
        <f aca="true">IF(AND(ISNUMBER(W82),W82&lt;TODAY()),"SÌ","")</f>
        <v/>
      </c>
      <c r="Y82" s="5"/>
      <c r="Z82" s="20" t="str">
        <f aca="false">IF(Y82="","",IFERROR(INDEX(Listino!$C$5:$C$7,MATCH(Y82,Listino!$A$5:$A$7,0)),""))</f>
        <v/>
      </c>
      <c r="AA82" s="5"/>
      <c r="AB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18" t="str">
        <f aca="false">IF(COUNTA(A83)=0,"",COUNTIF(F83:O83,1))</f>
        <v/>
      </c>
      <c r="Q83" s="4" t="str">
        <f aca="false">IF(COUNTA(A83)=0,"",COUNTBLANK(F83:O83))</f>
        <v/>
      </c>
      <c r="R83" s="4" t="str">
        <f aca="false">IF(P83="","",IF(P83&gt;=7,"Demo entro una settimana",IF(P83&gt;=4,"Un messaggio al mese","Archiviare")))</f>
        <v/>
      </c>
      <c r="S83" s="19"/>
      <c r="T83" s="5"/>
      <c r="U83" s="5"/>
      <c r="V83" s="5"/>
      <c r="W83" s="19"/>
      <c r="X83" s="4" t="str">
        <f aca="true">IF(AND(ISNUMBER(W83),W83&lt;TODAY()),"SÌ","")</f>
        <v/>
      </c>
      <c r="Y83" s="5"/>
      <c r="Z83" s="20" t="str">
        <f aca="false">IF(Y83="","",IFERROR(INDEX(Listino!$C$5:$C$7,MATCH(Y83,Listino!$A$5:$A$7,0)),""))</f>
        <v/>
      </c>
      <c r="AA83" s="5"/>
      <c r="AB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18" t="str">
        <f aca="false">IF(COUNTA(A84)=0,"",COUNTIF(F84:O84,1))</f>
        <v/>
      </c>
      <c r="Q84" s="4" t="str">
        <f aca="false">IF(COUNTA(A84)=0,"",COUNTBLANK(F84:O84))</f>
        <v/>
      </c>
      <c r="R84" s="4" t="str">
        <f aca="false">IF(P84="","",IF(P84&gt;=7,"Demo entro una settimana",IF(P84&gt;=4,"Un messaggio al mese","Archiviare")))</f>
        <v/>
      </c>
      <c r="S84" s="19"/>
      <c r="T84" s="5"/>
      <c r="U84" s="5"/>
      <c r="V84" s="5"/>
      <c r="W84" s="19"/>
      <c r="X84" s="4" t="str">
        <f aca="true">IF(AND(ISNUMBER(W84),W84&lt;TODAY()),"SÌ","")</f>
        <v/>
      </c>
      <c r="Y84" s="5"/>
      <c r="Z84" s="20" t="str">
        <f aca="false">IF(Y84="","",IFERROR(INDEX(Listino!$C$5:$C$7,MATCH(Y84,Listino!$A$5:$A$7,0)),""))</f>
        <v/>
      </c>
      <c r="AA84" s="5"/>
      <c r="AB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18" t="str">
        <f aca="false">IF(COUNTA(A85)=0,"",COUNTIF(F85:O85,1))</f>
        <v/>
      </c>
      <c r="Q85" s="4" t="str">
        <f aca="false">IF(COUNTA(A85)=0,"",COUNTBLANK(F85:O85))</f>
        <v/>
      </c>
      <c r="R85" s="4" t="str">
        <f aca="false">IF(P85="","",IF(P85&gt;=7,"Demo entro una settimana",IF(P85&gt;=4,"Un messaggio al mese","Archiviare")))</f>
        <v/>
      </c>
      <c r="S85" s="19"/>
      <c r="T85" s="5"/>
      <c r="U85" s="5"/>
      <c r="V85" s="5"/>
      <c r="W85" s="19"/>
      <c r="X85" s="4" t="str">
        <f aca="true">IF(AND(ISNUMBER(W85),W85&lt;TODAY()),"SÌ","")</f>
        <v/>
      </c>
      <c r="Y85" s="5"/>
      <c r="Z85" s="20" t="str">
        <f aca="false">IF(Y85="","",IFERROR(INDEX(Listino!$C$5:$C$7,MATCH(Y85,Listino!$A$5:$A$7,0)),""))</f>
        <v/>
      </c>
      <c r="AA85" s="5"/>
      <c r="AB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8" t="str">
        <f aca="false">IF(COUNTA(A86)=0,"",COUNTIF(F86:O86,1))</f>
        <v/>
      </c>
      <c r="Q86" s="4" t="str">
        <f aca="false">IF(COUNTA(A86)=0,"",COUNTBLANK(F86:O86))</f>
        <v/>
      </c>
      <c r="R86" s="4" t="str">
        <f aca="false">IF(P86="","",IF(P86&gt;=7,"Demo entro una settimana",IF(P86&gt;=4,"Un messaggio al mese","Archiviare")))</f>
        <v/>
      </c>
      <c r="S86" s="19"/>
      <c r="T86" s="5"/>
      <c r="U86" s="5"/>
      <c r="V86" s="5"/>
      <c r="W86" s="19"/>
      <c r="X86" s="4" t="str">
        <f aca="true">IF(AND(ISNUMBER(W86),W86&lt;TODAY()),"SÌ","")</f>
        <v/>
      </c>
      <c r="Y86" s="5"/>
      <c r="Z86" s="20" t="str">
        <f aca="false">IF(Y86="","",IFERROR(INDEX(Listino!$C$5:$C$7,MATCH(Y86,Listino!$A$5:$A$7,0)),""))</f>
        <v/>
      </c>
      <c r="AA86" s="5"/>
      <c r="AB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18" t="str">
        <f aca="false">IF(COUNTA(A87)=0,"",COUNTIF(F87:O87,1))</f>
        <v/>
      </c>
      <c r="Q87" s="4" t="str">
        <f aca="false">IF(COUNTA(A87)=0,"",COUNTBLANK(F87:O87))</f>
        <v/>
      </c>
      <c r="R87" s="4" t="str">
        <f aca="false">IF(P87="","",IF(P87&gt;=7,"Demo entro una settimana",IF(P87&gt;=4,"Un messaggio al mese","Archiviare")))</f>
        <v/>
      </c>
      <c r="S87" s="19"/>
      <c r="T87" s="5"/>
      <c r="U87" s="5"/>
      <c r="V87" s="5"/>
      <c r="W87" s="19"/>
      <c r="X87" s="4" t="str">
        <f aca="true">IF(AND(ISNUMBER(W87),W87&lt;TODAY()),"SÌ","")</f>
        <v/>
      </c>
      <c r="Y87" s="5"/>
      <c r="Z87" s="20" t="str">
        <f aca="false">IF(Y87="","",IFERROR(INDEX(Listino!$C$5:$C$7,MATCH(Y87,Listino!$A$5:$A$7,0)),""))</f>
        <v/>
      </c>
      <c r="AA87" s="5"/>
      <c r="AB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18" t="str">
        <f aca="false">IF(COUNTA(A88)=0,"",COUNTIF(F88:O88,1))</f>
        <v/>
      </c>
      <c r="Q88" s="4" t="str">
        <f aca="false">IF(COUNTA(A88)=0,"",COUNTBLANK(F88:O88))</f>
        <v/>
      </c>
      <c r="R88" s="4" t="str">
        <f aca="false">IF(P88="","",IF(P88&gt;=7,"Demo entro una settimana",IF(P88&gt;=4,"Un messaggio al mese","Archiviare")))</f>
        <v/>
      </c>
      <c r="S88" s="19"/>
      <c r="T88" s="5"/>
      <c r="U88" s="5"/>
      <c r="V88" s="5"/>
      <c r="W88" s="19"/>
      <c r="X88" s="4" t="str">
        <f aca="true">IF(AND(ISNUMBER(W88),W88&lt;TODAY()),"SÌ","")</f>
        <v/>
      </c>
      <c r="Y88" s="5"/>
      <c r="Z88" s="20" t="str">
        <f aca="false">IF(Y88="","",IFERROR(INDEX(Listino!$C$5:$C$7,MATCH(Y88,Listino!$A$5:$A$7,0)),""))</f>
        <v/>
      </c>
      <c r="AA88" s="5"/>
      <c r="AB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18" t="str">
        <f aca="false">IF(COUNTA(A89)=0,"",COUNTIF(F89:O89,1))</f>
        <v/>
      </c>
      <c r="Q89" s="4" t="str">
        <f aca="false">IF(COUNTA(A89)=0,"",COUNTBLANK(F89:O89))</f>
        <v/>
      </c>
      <c r="R89" s="4" t="str">
        <f aca="false">IF(P89="","",IF(P89&gt;=7,"Demo entro una settimana",IF(P89&gt;=4,"Un messaggio al mese","Archiviare")))</f>
        <v/>
      </c>
      <c r="S89" s="19"/>
      <c r="T89" s="5"/>
      <c r="U89" s="5"/>
      <c r="V89" s="5"/>
      <c r="W89" s="19"/>
      <c r="X89" s="4" t="str">
        <f aca="true">IF(AND(ISNUMBER(W89),W89&lt;TODAY()),"SÌ","")</f>
        <v/>
      </c>
      <c r="Y89" s="5"/>
      <c r="Z89" s="20" t="str">
        <f aca="false">IF(Y89="","",IFERROR(INDEX(Listino!$C$5:$C$7,MATCH(Y89,Listino!$A$5:$A$7,0)),""))</f>
        <v/>
      </c>
      <c r="AA89" s="5"/>
      <c r="AB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18" t="str">
        <f aca="false">IF(COUNTA(A90)=0,"",COUNTIF(F90:O90,1))</f>
        <v/>
      </c>
      <c r="Q90" s="4" t="str">
        <f aca="false">IF(COUNTA(A90)=0,"",COUNTBLANK(F90:O90))</f>
        <v/>
      </c>
      <c r="R90" s="4" t="str">
        <f aca="false">IF(P90="","",IF(P90&gt;=7,"Demo entro una settimana",IF(P90&gt;=4,"Un messaggio al mese","Archiviare")))</f>
        <v/>
      </c>
      <c r="S90" s="19"/>
      <c r="T90" s="5"/>
      <c r="U90" s="5"/>
      <c r="V90" s="5"/>
      <c r="W90" s="19"/>
      <c r="X90" s="4" t="str">
        <f aca="true">IF(AND(ISNUMBER(W90),W90&lt;TODAY()),"SÌ","")</f>
        <v/>
      </c>
      <c r="Y90" s="5"/>
      <c r="Z90" s="20" t="str">
        <f aca="false">IF(Y90="","",IFERROR(INDEX(Listino!$C$5:$C$7,MATCH(Y90,Listino!$A$5:$A$7,0)),""))</f>
        <v/>
      </c>
      <c r="AA90" s="5"/>
      <c r="AB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18" t="str">
        <f aca="false">IF(COUNTA(A91)=0,"",COUNTIF(F91:O91,1))</f>
        <v/>
      </c>
      <c r="Q91" s="4" t="str">
        <f aca="false">IF(COUNTA(A91)=0,"",COUNTBLANK(F91:O91))</f>
        <v/>
      </c>
      <c r="R91" s="4" t="str">
        <f aca="false">IF(P91="","",IF(P91&gt;=7,"Demo entro una settimana",IF(P91&gt;=4,"Un messaggio al mese","Archiviare")))</f>
        <v/>
      </c>
      <c r="S91" s="19"/>
      <c r="T91" s="5"/>
      <c r="U91" s="5"/>
      <c r="V91" s="5"/>
      <c r="W91" s="19"/>
      <c r="X91" s="4" t="str">
        <f aca="true">IF(AND(ISNUMBER(W91),W91&lt;TODAY()),"SÌ","")</f>
        <v/>
      </c>
      <c r="Y91" s="5"/>
      <c r="Z91" s="20" t="str">
        <f aca="false">IF(Y91="","",IFERROR(INDEX(Listino!$C$5:$C$7,MATCH(Y91,Listino!$A$5:$A$7,0)),""))</f>
        <v/>
      </c>
      <c r="AA91" s="5"/>
      <c r="AB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18" t="str">
        <f aca="false">IF(COUNTA(A92)=0,"",COUNTIF(F92:O92,1))</f>
        <v/>
      </c>
      <c r="Q92" s="4" t="str">
        <f aca="false">IF(COUNTA(A92)=0,"",COUNTBLANK(F92:O92))</f>
        <v/>
      </c>
      <c r="R92" s="4" t="str">
        <f aca="false">IF(P92="","",IF(P92&gt;=7,"Demo entro una settimana",IF(P92&gt;=4,"Un messaggio al mese","Archiviare")))</f>
        <v/>
      </c>
      <c r="S92" s="19"/>
      <c r="T92" s="5"/>
      <c r="U92" s="5"/>
      <c r="V92" s="5"/>
      <c r="W92" s="19"/>
      <c r="X92" s="4" t="str">
        <f aca="true">IF(AND(ISNUMBER(W92),W92&lt;TODAY()),"SÌ","")</f>
        <v/>
      </c>
      <c r="Y92" s="5"/>
      <c r="Z92" s="20" t="str">
        <f aca="false">IF(Y92="","",IFERROR(INDEX(Listino!$C$5:$C$7,MATCH(Y92,Listino!$A$5:$A$7,0)),""))</f>
        <v/>
      </c>
      <c r="AA92" s="5"/>
      <c r="AB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18" t="str">
        <f aca="false">IF(COUNTA(A93)=0,"",COUNTIF(F93:O93,1))</f>
        <v/>
      </c>
      <c r="Q93" s="4" t="str">
        <f aca="false">IF(COUNTA(A93)=0,"",COUNTBLANK(F93:O93))</f>
        <v/>
      </c>
      <c r="R93" s="4" t="str">
        <f aca="false">IF(P93="","",IF(P93&gt;=7,"Demo entro una settimana",IF(P93&gt;=4,"Un messaggio al mese","Archiviare")))</f>
        <v/>
      </c>
      <c r="S93" s="19"/>
      <c r="T93" s="5"/>
      <c r="U93" s="5"/>
      <c r="V93" s="5"/>
      <c r="W93" s="19"/>
      <c r="X93" s="4" t="str">
        <f aca="true">IF(AND(ISNUMBER(W93),W93&lt;TODAY()),"SÌ","")</f>
        <v/>
      </c>
      <c r="Y93" s="5"/>
      <c r="Z93" s="20" t="str">
        <f aca="false">IF(Y93="","",IFERROR(INDEX(Listino!$C$5:$C$7,MATCH(Y93,Listino!$A$5:$A$7,0)),""))</f>
        <v/>
      </c>
      <c r="AA93" s="5"/>
      <c r="AB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18" t="str">
        <f aca="false">IF(COUNTA(A94)=0,"",COUNTIF(F94:O94,1))</f>
        <v/>
      </c>
      <c r="Q94" s="4" t="str">
        <f aca="false">IF(COUNTA(A94)=0,"",COUNTBLANK(F94:O94))</f>
        <v/>
      </c>
      <c r="R94" s="4" t="str">
        <f aca="false">IF(P94="","",IF(P94&gt;=7,"Demo entro una settimana",IF(P94&gt;=4,"Un messaggio al mese","Archiviare")))</f>
        <v/>
      </c>
      <c r="S94" s="19"/>
      <c r="T94" s="5"/>
      <c r="U94" s="5"/>
      <c r="V94" s="5"/>
      <c r="W94" s="19"/>
      <c r="X94" s="4" t="str">
        <f aca="true">IF(AND(ISNUMBER(W94),W94&lt;TODAY()),"SÌ","")</f>
        <v/>
      </c>
      <c r="Y94" s="5"/>
      <c r="Z94" s="20" t="str">
        <f aca="false">IF(Y94="","",IFERROR(INDEX(Listino!$C$5:$C$7,MATCH(Y94,Listino!$A$5:$A$7,0)),""))</f>
        <v/>
      </c>
      <c r="AA94" s="5"/>
      <c r="AB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18" t="str">
        <f aca="false">IF(COUNTA(A95)=0,"",COUNTIF(F95:O95,1))</f>
        <v/>
      </c>
      <c r="Q95" s="4" t="str">
        <f aca="false">IF(COUNTA(A95)=0,"",COUNTBLANK(F95:O95))</f>
        <v/>
      </c>
      <c r="R95" s="4" t="str">
        <f aca="false">IF(P95="","",IF(P95&gt;=7,"Demo entro una settimana",IF(P95&gt;=4,"Un messaggio al mese","Archiviare")))</f>
        <v/>
      </c>
      <c r="S95" s="19"/>
      <c r="T95" s="5"/>
      <c r="U95" s="5"/>
      <c r="V95" s="5"/>
      <c r="W95" s="19"/>
      <c r="X95" s="4" t="str">
        <f aca="true">IF(AND(ISNUMBER(W95),W95&lt;TODAY()),"SÌ","")</f>
        <v/>
      </c>
      <c r="Y95" s="5"/>
      <c r="Z95" s="20" t="str">
        <f aca="false">IF(Y95="","",IFERROR(INDEX(Listino!$C$5:$C$7,MATCH(Y95,Listino!$A$5:$A$7,0)),""))</f>
        <v/>
      </c>
      <c r="AA95" s="5"/>
      <c r="AB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18" t="str">
        <f aca="false">IF(COUNTA(A96)=0,"",COUNTIF(F96:O96,1))</f>
        <v/>
      </c>
      <c r="Q96" s="4" t="str">
        <f aca="false">IF(COUNTA(A96)=0,"",COUNTBLANK(F96:O96))</f>
        <v/>
      </c>
      <c r="R96" s="4" t="str">
        <f aca="false">IF(P96="","",IF(P96&gt;=7,"Demo entro una settimana",IF(P96&gt;=4,"Un messaggio al mese","Archiviare")))</f>
        <v/>
      </c>
      <c r="S96" s="19"/>
      <c r="T96" s="5"/>
      <c r="U96" s="5"/>
      <c r="V96" s="5"/>
      <c r="W96" s="19"/>
      <c r="X96" s="4" t="str">
        <f aca="true">IF(AND(ISNUMBER(W96),W96&lt;TODAY()),"SÌ","")</f>
        <v/>
      </c>
      <c r="Y96" s="5"/>
      <c r="Z96" s="20" t="str">
        <f aca="false">IF(Y96="","",IFERROR(INDEX(Listino!$C$5:$C$7,MATCH(Y96,Listino!$A$5:$A$7,0)),""))</f>
        <v/>
      </c>
      <c r="AA96" s="5"/>
      <c r="AB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18" t="str">
        <f aca="false">IF(COUNTA(A97)=0,"",COUNTIF(F97:O97,1))</f>
        <v/>
      </c>
      <c r="Q97" s="4" t="str">
        <f aca="false">IF(COUNTA(A97)=0,"",COUNTBLANK(F97:O97))</f>
        <v/>
      </c>
      <c r="R97" s="4" t="str">
        <f aca="false">IF(P97="","",IF(P97&gt;=7,"Demo entro una settimana",IF(P97&gt;=4,"Un messaggio al mese","Archiviare")))</f>
        <v/>
      </c>
      <c r="S97" s="19"/>
      <c r="T97" s="5"/>
      <c r="U97" s="5"/>
      <c r="V97" s="5"/>
      <c r="W97" s="19"/>
      <c r="X97" s="4" t="str">
        <f aca="true">IF(AND(ISNUMBER(W97),W97&lt;TODAY()),"SÌ","")</f>
        <v/>
      </c>
      <c r="Y97" s="5"/>
      <c r="Z97" s="20" t="str">
        <f aca="false">IF(Y97="","",IFERROR(INDEX(Listino!$C$5:$C$7,MATCH(Y97,Listino!$A$5:$A$7,0)),""))</f>
        <v/>
      </c>
      <c r="AA97" s="5"/>
      <c r="AB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18" t="str">
        <f aca="false">IF(COUNTA(A98)=0,"",COUNTIF(F98:O98,1))</f>
        <v/>
      </c>
      <c r="Q98" s="4" t="str">
        <f aca="false">IF(COUNTA(A98)=0,"",COUNTBLANK(F98:O98))</f>
        <v/>
      </c>
      <c r="R98" s="4" t="str">
        <f aca="false">IF(P98="","",IF(P98&gt;=7,"Demo entro una settimana",IF(P98&gt;=4,"Un messaggio al mese","Archiviare")))</f>
        <v/>
      </c>
      <c r="S98" s="19"/>
      <c r="T98" s="5"/>
      <c r="U98" s="5"/>
      <c r="V98" s="5"/>
      <c r="W98" s="19"/>
      <c r="X98" s="4" t="str">
        <f aca="true">IF(AND(ISNUMBER(W98),W98&lt;TODAY()),"SÌ","")</f>
        <v/>
      </c>
      <c r="Y98" s="5"/>
      <c r="Z98" s="20" t="str">
        <f aca="false">IF(Y98="","",IFERROR(INDEX(Listino!$C$5:$C$7,MATCH(Y98,Listino!$A$5:$A$7,0)),""))</f>
        <v/>
      </c>
      <c r="AA98" s="5"/>
      <c r="AB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18" t="str">
        <f aca="false">IF(COUNTA(A99)=0,"",COUNTIF(F99:O99,1))</f>
        <v/>
      </c>
      <c r="Q99" s="4" t="str">
        <f aca="false">IF(COUNTA(A99)=0,"",COUNTBLANK(F99:O99))</f>
        <v/>
      </c>
      <c r="R99" s="4" t="str">
        <f aca="false">IF(P99="","",IF(P99&gt;=7,"Demo entro una settimana",IF(P99&gt;=4,"Un messaggio al mese","Archiviare")))</f>
        <v/>
      </c>
      <c r="S99" s="19"/>
      <c r="T99" s="5"/>
      <c r="U99" s="5"/>
      <c r="V99" s="5"/>
      <c r="W99" s="19"/>
      <c r="X99" s="4" t="str">
        <f aca="true">IF(AND(ISNUMBER(W99),W99&lt;TODAY()),"SÌ","")</f>
        <v/>
      </c>
      <c r="Y99" s="5"/>
      <c r="Z99" s="20" t="str">
        <f aca="false">IF(Y99="","",IFERROR(INDEX(Listino!$C$5:$C$7,MATCH(Y99,Listino!$A$5:$A$7,0)),""))</f>
        <v/>
      </c>
      <c r="AA99" s="5"/>
      <c r="AB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18" t="str">
        <f aca="false">IF(COUNTA(A100)=0,"",COUNTIF(F100:O100,1))</f>
        <v/>
      </c>
      <c r="Q100" s="4" t="str">
        <f aca="false">IF(COUNTA(A100)=0,"",COUNTBLANK(F100:O100))</f>
        <v/>
      </c>
      <c r="R100" s="4" t="str">
        <f aca="false">IF(P100="","",IF(P100&gt;=7,"Demo entro una settimana",IF(P100&gt;=4,"Un messaggio al mese","Archiviare")))</f>
        <v/>
      </c>
      <c r="S100" s="19"/>
      <c r="T100" s="5"/>
      <c r="U100" s="5"/>
      <c r="V100" s="5"/>
      <c r="W100" s="19"/>
      <c r="X100" s="4" t="str">
        <f aca="true">IF(AND(ISNUMBER(W100),W100&lt;TODAY()),"SÌ","")</f>
        <v/>
      </c>
      <c r="Y100" s="5"/>
      <c r="Z100" s="20" t="str">
        <f aca="false">IF(Y100="","",IFERROR(INDEX(Listino!$C$5:$C$7,MATCH(Y100,Listino!$A$5:$A$7,0)),""))</f>
        <v/>
      </c>
      <c r="AA100" s="5"/>
      <c r="AB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18" t="str">
        <f aca="false">IF(COUNTA(A101)=0,"",COUNTIF(F101:O101,1))</f>
        <v/>
      </c>
      <c r="Q101" s="4" t="str">
        <f aca="false">IF(COUNTA(A101)=0,"",COUNTBLANK(F101:O101))</f>
        <v/>
      </c>
      <c r="R101" s="4" t="str">
        <f aca="false">IF(P101="","",IF(P101&gt;=7,"Demo entro una settimana",IF(P101&gt;=4,"Un messaggio al mese","Archiviare")))</f>
        <v/>
      </c>
      <c r="S101" s="19"/>
      <c r="T101" s="5"/>
      <c r="U101" s="5"/>
      <c r="V101" s="5"/>
      <c r="W101" s="19"/>
      <c r="X101" s="4" t="str">
        <f aca="true">IF(AND(ISNUMBER(W101),W101&lt;TODAY()),"SÌ","")</f>
        <v/>
      </c>
      <c r="Y101" s="5"/>
      <c r="Z101" s="20" t="str">
        <f aca="false">IF(Y101="","",IFERROR(INDEX(Listino!$C$5:$C$7,MATCH(Y101,Listino!$A$5:$A$7,0)),""))</f>
        <v/>
      </c>
      <c r="AA101" s="5"/>
      <c r="AB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18" t="str">
        <f aca="false">IF(COUNTA(A102)=0,"",COUNTIF(F102:O102,1))</f>
        <v/>
      </c>
      <c r="Q102" s="4" t="str">
        <f aca="false">IF(COUNTA(A102)=0,"",COUNTBLANK(F102:O102))</f>
        <v/>
      </c>
      <c r="R102" s="4" t="str">
        <f aca="false">IF(P102="","",IF(P102&gt;=7,"Demo entro una settimana",IF(P102&gt;=4,"Un messaggio al mese","Archiviare")))</f>
        <v/>
      </c>
      <c r="S102" s="19"/>
      <c r="T102" s="5"/>
      <c r="U102" s="5"/>
      <c r="V102" s="5"/>
      <c r="W102" s="19"/>
      <c r="X102" s="4" t="str">
        <f aca="true">IF(AND(ISNUMBER(W102),W102&lt;TODAY()),"SÌ","")</f>
        <v/>
      </c>
      <c r="Y102" s="5"/>
      <c r="Z102" s="20" t="str">
        <f aca="false">IF(Y102="","",IFERROR(INDEX(Listino!$C$5:$C$7,MATCH(Y102,Listino!$A$5:$A$7,0)),""))</f>
        <v/>
      </c>
      <c r="AA102" s="5"/>
      <c r="AB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18" t="str">
        <f aca="false">IF(COUNTA(A103)=0,"",COUNTIF(F103:O103,1))</f>
        <v/>
      </c>
      <c r="Q103" s="4" t="str">
        <f aca="false">IF(COUNTA(A103)=0,"",COUNTBLANK(F103:O103))</f>
        <v/>
      </c>
      <c r="R103" s="4" t="str">
        <f aca="false">IF(P103="","",IF(P103&gt;=7,"Demo entro una settimana",IF(P103&gt;=4,"Un messaggio al mese","Archiviare")))</f>
        <v/>
      </c>
      <c r="S103" s="19"/>
      <c r="T103" s="5"/>
      <c r="U103" s="5"/>
      <c r="V103" s="5"/>
      <c r="W103" s="19"/>
      <c r="X103" s="4" t="str">
        <f aca="true">IF(AND(ISNUMBER(W103),W103&lt;TODAY()),"SÌ","")</f>
        <v/>
      </c>
      <c r="Y103" s="5"/>
      <c r="Z103" s="20" t="str">
        <f aca="false">IF(Y103="","",IFERROR(INDEX(Listino!$C$5:$C$7,MATCH(Y103,Listino!$A$5:$A$7,0)),""))</f>
        <v/>
      </c>
      <c r="AA103" s="5"/>
      <c r="AB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18" t="str">
        <f aca="false">IF(COUNTA(A104)=0,"",COUNTIF(F104:O104,1))</f>
        <v/>
      </c>
      <c r="Q104" s="4" t="str">
        <f aca="false">IF(COUNTA(A104)=0,"",COUNTBLANK(F104:O104))</f>
        <v/>
      </c>
      <c r="R104" s="4" t="str">
        <f aca="false">IF(P104="","",IF(P104&gt;=7,"Demo entro una settimana",IF(P104&gt;=4,"Un messaggio al mese","Archiviare")))</f>
        <v/>
      </c>
      <c r="S104" s="19"/>
      <c r="T104" s="5"/>
      <c r="U104" s="5"/>
      <c r="V104" s="5"/>
      <c r="W104" s="19"/>
      <c r="X104" s="4" t="str">
        <f aca="true">IF(AND(ISNUMBER(W104),W104&lt;TODAY()),"SÌ","")</f>
        <v/>
      </c>
      <c r="Y104" s="5"/>
      <c r="Z104" s="20" t="str">
        <f aca="false">IF(Y104="","",IFERROR(INDEX(Listino!$C$5:$C$7,MATCH(Y104,Listino!$A$5:$A$7,0)),""))</f>
        <v/>
      </c>
      <c r="AA104" s="5"/>
      <c r="AB104" s="5"/>
    </row>
  </sheetData>
  <autoFilter ref="A4:AB104"/>
  <conditionalFormatting sqref="P5:P104">
    <cfRule type="expression" priority="2" aboveAverage="0" equalAverage="0" bottom="0" percent="0" rank="0" text="" dxfId="6">
      <formula>AND(ISNUMBER(P5),P5&gt;=7)</formula>
    </cfRule>
    <cfRule type="expression" priority="3" aboveAverage="0" equalAverage="0" bottom="0" percent="0" rank="0" text="" dxfId="7">
      <formula>AND(ISNUMBER(P5),P5&gt;=4,P5&lt;7)</formula>
    </cfRule>
    <cfRule type="expression" priority="4" aboveAverage="0" equalAverage="0" bottom="0" percent="0" rank="0" text="" dxfId="8">
      <formula>AND(ISNUMBER(P5),P5&lt;4)</formula>
    </cfRule>
  </conditionalFormatting>
  <conditionalFormatting sqref="X5:X104">
    <cfRule type="cellIs" priority="5" operator="equal" aboveAverage="0" equalAverage="0" bottom="0" percent="0" rank="0" text="" dxfId="9">
      <formula>"SÌ"</formula>
    </cfRule>
  </conditionalFormatting>
  <dataValidations count="5">
    <dataValidation allowBlank="true" errorStyle="stop" operator="between" showDropDown="false" showErrorMessage="false" showInputMessage="false" sqref="E5:E104" type="list">
      <formula1>"Ristorante 30-120,Pizzeria,Agriturismo,Sala eventi,Bar con cucina,Da evitare"</formula1>
      <formula2>0</formula2>
    </dataValidation>
    <dataValidation allowBlank="true" error="Scrivere 1 (vero), 0 (falso) o lasciare vuoto (da verificare)" errorStyle="stop" operator="between" showDropDown="false" showErrorMessage="false" showInputMessage="false" sqref="F5:O104" type="whole">
      <formula1>0</formula1>
      <formula2>1</formula2>
    </dataValidation>
    <dataValidation allowBlank="true" errorStyle="stop" operator="between" showDropDown="false" showErrorMessage="false" showInputMessage="false" sqref="T5:T104" type="list">
      <formula1>"Visita,Telefonata,WhatsApp,Rete personale,Segnalazione,Partner,Video"</formula1>
      <formula2>0</formula2>
    </dataValidation>
    <dataValidation allowBlank="true" errorStyle="stop" operator="between" showDropDown="false" showErrorMessage="false" showInputMessage="false" sqref="U5:U104" type="list">
      <formula1>"Da contattare,Contattato,Conversazione,Demo,Proposta,Firmato,Perso,Archiviato"</formula1>
      <formula2>0</formula2>
    </dataValidation>
    <dataValidation allowBlank="true" errorStyle="stop" operator="between" showDropDown="false" showErrorMessage="false" showInputMessage="false" sqref="Y5:Y104" type="list">
      <formula1>"Start,Pro,Premium"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31.5" hidden="false" customHeight="true" outlineLevel="0" collapsed="false">
      <c r="A4" s="9" t="s">
        <v>117</v>
      </c>
      <c r="B4" s="9" t="s">
        <v>118</v>
      </c>
      <c r="C4" s="9" t="s">
        <v>76</v>
      </c>
      <c r="D4" s="9" t="s">
        <v>31</v>
      </c>
      <c r="E4" s="9" t="s">
        <v>33</v>
      </c>
      <c r="F4" s="9" t="s">
        <v>35</v>
      </c>
      <c r="G4" s="9" t="s">
        <v>119</v>
      </c>
      <c r="H4" s="9" t="s">
        <v>120</v>
      </c>
      <c r="I4" s="9" t="s">
        <v>121</v>
      </c>
      <c r="J4" s="9" t="s">
        <v>122</v>
      </c>
      <c r="K4" s="9" t="s">
        <v>123</v>
      </c>
      <c r="L4" s="9" t="s">
        <v>124</v>
      </c>
      <c r="M4" s="9" t="s">
        <v>125</v>
      </c>
    </row>
    <row r="5" customFormat="false" ht="15" hidden="false" customHeight="false" outlineLevel="0" collapsed="false">
      <c r="A5" s="4" t="n">
        <v>1</v>
      </c>
      <c r="B5" s="21" t="n">
        <v>46321</v>
      </c>
      <c r="C5" s="5"/>
      <c r="D5" s="5"/>
      <c r="E5" s="5"/>
      <c r="F5" s="5"/>
      <c r="G5" s="5"/>
      <c r="H5" s="5"/>
      <c r="I5" s="22"/>
      <c r="J5" s="16" t="str">
        <f aca="false">IF(SUM($C$5:C5)=0,"",SUM($G$5:G5)/SUM($C$5:C5))</f>
        <v/>
      </c>
      <c r="K5" s="4" t="str">
        <f aca="false">IF(COUNT(C5)=0,"",SUM($C$5:C5))</f>
        <v/>
      </c>
      <c r="L5" s="4" t="str">
        <f aca="false">""</f>
        <v/>
      </c>
      <c r="M5" s="23"/>
    </row>
    <row r="6" customFormat="false" ht="15" hidden="false" customHeight="false" outlineLevel="0" collapsed="false">
      <c r="A6" s="4" t="n">
        <v>2</v>
      </c>
      <c r="B6" s="21" t="n">
        <v>46328</v>
      </c>
      <c r="C6" s="5"/>
      <c r="D6" s="5"/>
      <c r="E6" s="5"/>
      <c r="F6" s="5"/>
      <c r="G6" s="5"/>
      <c r="H6" s="5"/>
      <c r="I6" s="22"/>
      <c r="J6" s="16" t="str">
        <f aca="false">IF(SUM($C$5:C6)=0,"",SUM($G$5:G6)/SUM($C$5:C6))</f>
        <v/>
      </c>
      <c r="K6" s="4" t="str">
        <f aca="false">IF(COUNT(C6)=0,"",SUM($C$5:C6))</f>
        <v/>
      </c>
      <c r="L6" s="4" t="str">
        <f aca="false">IF(AND(COUNT(C6)=1,COUNT(C5)=1),IF(AND(C6&lt;Obiettivi!$C$5,C5&lt;Obiettivi!$C$5),"SEGNALE",""),"")</f>
        <v/>
      </c>
      <c r="M6" s="23"/>
    </row>
    <row r="7" customFormat="false" ht="15" hidden="false" customHeight="false" outlineLevel="0" collapsed="false">
      <c r="A7" s="4" t="n">
        <v>3</v>
      </c>
      <c r="B7" s="21" t="n">
        <v>46335</v>
      </c>
      <c r="C7" s="5"/>
      <c r="D7" s="5"/>
      <c r="E7" s="5"/>
      <c r="F7" s="5"/>
      <c r="G7" s="5"/>
      <c r="H7" s="5"/>
      <c r="I7" s="22"/>
      <c r="J7" s="16" t="str">
        <f aca="false">IF(SUM($C$5:C7)=0,"",SUM($G$5:G7)/SUM($C$5:C7))</f>
        <v/>
      </c>
      <c r="K7" s="4" t="str">
        <f aca="false">IF(COUNT(C7)=0,"",SUM($C$5:C7))</f>
        <v/>
      </c>
      <c r="L7" s="4" t="str">
        <f aca="false">IF(AND(COUNT(C7)=1,COUNT(C6)=1),IF(AND(C7&lt;Obiettivi!$C$5,C6&lt;Obiettivi!$C$5),"SEGNALE",""),"")</f>
        <v/>
      </c>
      <c r="M7" s="23"/>
    </row>
    <row r="8" customFormat="false" ht="15" hidden="false" customHeight="false" outlineLevel="0" collapsed="false">
      <c r="A8" s="4" t="n">
        <v>4</v>
      </c>
      <c r="B8" s="21" t="n">
        <v>46342</v>
      </c>
      <c r="C8" s="5"/>
      <c r="D8" s="5"/>
      <c r="E8" s="5"/>
      <c r="F8" s="5"/>
      <c r="G8" s="5"/>
      <c r="H8" s="5"/>
      <c r="I8" s="22"/>
      <c r="J8" s="16" t="str">
        <f aca="false">IF(SUM($C$5:C8)=0,"",SUM($G$5:G8)/SUM($C$5:C8))</f>
        <v/>
      </c>
      <c r="K8" s="4" t="str">
        <f aca="false">IF(COUNT(C8)=0,"",SUM($C$5:C8))</f>
        <v/>
      </c>
      <c r="L8" s="4" t="str">
        <f aca="false">IF(AND(COUNT(C8)=1,COUNT(C7)=1),IF(AND(C8&lt;Obiettivi!$C$5,C7&lt;Obiettivi!$C$5),"SEGNALE",""),"")</f>
        <v/>
      </c>
      <c r="M8" s="23"/>
    </row>
    <row r="9" customFormat="false" ht="15" hidden="false" customHeight="false" outlineLevel="0" collapsed="false">
      <c r="A9" s="4" t="n">
        <v>5</v>
      </c>
      <c r="B9" s="21" t="n">
        <v>46349</v>
      </c>
      <c r="C9" s="5"/>
      <c r="D9" s="5"/>
      <c r="E9" s="5"/>
      <c r="F9" s="5"/>
      <c r="G9" s="5"/>
      <c r="H9" s="5"/>
      <c r="I9" s="22"/>
      <c r="J9" s="16" t="str">
        <f aca="false">IF(SUM($C$5:C9)=0,"",SUM($G$5:G9)/SUM($C$5:C9))</f>
        <v/>
      </c>
      <c r="K9" s="4" t="str">
        <f aca="false">IF(COUNT(C9)=0,"",SUM($C$5:C9))</f>
        <v/>
      </c>
      <c r="L9" s="4" t="str">
        <f aca="false">IF(AND(COUNT(C9)=1,COUNT(C8)=1),IF(AND(C9&lt;Obiettivi!$C$5,C8&lt;Obiettivi!$C$5),"SEGNALE",""),"")</f>
        <v/>
      </c>
      <c r="M9" s="23"/>
    </row>
    <row r="10" customFormat="false" ht="15" hidden="false" customHeight="false" outlineLevel="0" collapsed="false">
      <c r="A10" s="4" t="n">
        <v>6</v>
      </c>
      <c r="B10" s="21" t="n">
        <v>46356</v>
      </c>
      <c r="C10" s="5"/>
      <c r="D10" s="5"/>
      <c r="E10" s="5"/>
      <c r="F10" s="5"/>
      <c r="G10" s="5"/>
      <c r="H10" s="5"/>
      <c r="I10" s="22"/>
      <c r="J10" s="16" t="str">
        <f aca="false">IF(SUM($C$5:C10)=0,"",SUM($G$5:G10)/SUM($C$5:C10))</f>
        <v/>
      </c>
      <c r="K10" s="4" t="str">
        <f aca="false">IF(COUNT(C10)=0,"",SUM($C$5:C10))</f>
        <v/>
      </c>
      <c r="L10" s="4" t="str">
        <f aca="false">IF(AND(COUNT(C10)=1,COUNT(C9)=1),IF(AND(C10&lt;Obiettivi!$C$5,C9&lt;Obiettivi!$C$5),"SEGNALE",""),"")</f>
        <v/>
      </c>
      <c r="M10" s="23"/>
    </row>
    <row r="11" customFormat="false" ht="15" hidden="false" customHeight="false" outlineLevel="0" collapsed="false">
      <c r="A11" s="4" t="n">
        <v>7</v>
      </c>
      <c r="B11" s="21" t="n">
        <v>46363</v>
      </c>
      <c r="C11" s="5"/>
      <c r="D11" s="5"/>
      <c r="E11" s="5"/>
      <c r="F11" s="5"/>
      <c r="G11" s="5"/>
      <c r="H11" s="5"/>
      <c r="I11" s="22"/>
      <c r="J11" s="16" t="str">
        <f aca="false">IF(SUM($C$5:C11)=0,"",SUM($G$5:G11)/SUM($C$5:C11))</f>
        <v/>
      </c>
      <c r="K11" s="4" t="str">
        <f aca="false">IF(COUNT(C11)=0,"",SUM($C$5:C11))</f>
        <v/>
      </c>
      <c r="L11" s="4" t="str">
        <f aca="false">IF(AND(COUNT(C11)=1,COUNT(C10)=1),IF(AND(C11&lt;Obiettivi!$C$5,C10&lt;Obiettivi!$C$5),"SEGNALE",""),"")</f>
        <v/>
      </c>
      <c r="M11" s="23"/>
    </row>
    <row r="12" customFormat="false" ht="15" hidden="false" customHeight="false" outlineLevel="0" collapsed="false">
      <c r="A12" s="4" t="n">
        <v>8</v>
      </c>
      <c r="B12" s="21" t="n">
        <v>46370</v>
      </c>
      <c r="C12" s="5"/>
      <c r="D12" s="5"/>
      <c r="E12" s="5"/>
      <c r="F12" s="5"/>
      <c r="G12" s="5"/>
      <c r="H12" s="5"/>
      <c r="I12" s="22"/>
      <c r="J12" s="16" t="str">
        <f aca="false">IF(SUM($C$5:C12)=0,"",SUM($G$5:G12)/SUM($C$5:C12))</f>
        <v/>
      </c>
      <c r="K12" s="4" t="str">
        <f aca="false">IF(COUNT(C12)=0,"",SUM($C$5:C12))</f>
        <v/>
      </c>
      <c r="L12" s="4" t="str">
        <f aca="false">IF(AND(COUNT(C12)=1,COUNT(C11)=1),IF(AND(C12&lt;Obiettivi!$C$5,C11&lt;Obiettivi!$C$5),"SEGNALE",""),"")</f>
        <v/>
      </c>
      <c r="M12" s="23"/>
    </row>
    <row r="13" customFormat="false" ht="15" hidden="false" customHeight="false" outlineLevel="0" collapsed="false">
      <c r="A13" s="4" t="n">
        <v>9</v>
      </c>
      <c r="B13" s="21" t="n">
        <v>46377</v>
      </c>
      <c r="C13" s="5"/>
      <c r="D13" s="5"/>
      <c r="E13" s="5"/>
      <c r="F13" s="5"/>
      <c r="G13" s="5"/>
      <c r="H13" s="5"/>
      <c r="I13" s="22"/>
      <c r="J13" s="16" t="str">
        <f aca="false">IF(SUM($C$5:C13)=0,"",SUM($G$5:G13)/SUM($C$5:C13))</f>
        <v/>
      </c>
      <c r="K13" s="4" t="str">
        <f aca="false">IF(COUNT(C13)=0,"",SUM($C$5:C13))</f>
        <v/>
      </c>
      <c r="L13" s="4" t="str">
        <f aca="false">IF(AND(COUNT(C13)=1,COUNT(C12)=1),IF(AND(C13&lt;Obiettivi!$C$5,C12&lt;Obiettivi!$C$5),"SEGNALE",""),"")</f>
        <v/>
      </c>
      <c r="M13" s="23"/>
    </row>
    <row r="14" customFormat="false" ht="15" hidden="false" customHeight="false" outlineLevel="0" collapsed="false">
      <c r="A14" s="4" t="n">
        <v>10</v>
      </c>
      <c r="B14" s="21" t="n">
        <v>46384</v>
      </c>
      <c r="C14" s="5"/>
      <c r="D14" s="5"/>
      <c r="E14" s="5"/>
      <c r="F14" s="5"/>
      <c r="G14" s="5"/>
      <c r="H14" s="5"/>
      <c r="I14" s="22"/>
      <c r="J14" s="16" t="str">
        <f aca="false">IF(SUM($C$5:C14)=0,"",SUM($G$5:G14)/SUM($C$5:C14))</f>
        <v/>
      </c>
      <c r="K14" s="4" t="str">
        <f aca="false">IF(COUNT(C14)=0,"",SUM($C$5:C14))</f>
        <v/>
      </c>
      <c r="L14" s="4" t="str">
        <f aca="false">IF(AND(COUNT(C14)=1,COUNT(C13)=1),IF(AND(C14&lt;Obiettivi!$C$5,C13&lt;Obiettivi!$C$5),"SEGNALE",""),"")</f>
        <v/>
      </c>
      <c r="M14" s="23"/>
    </row>
    <row r="15" customFormat="false" ht="15" hidden="false" customHeight="false" outlineLevel="0" collapsed="false">
      <c r="A15" s="4" t="n">
        <v>11</v>
      </c>
      <c r="B15" s="21" t="n">
        <v>46391</v>
      </c>
      <c r="C15" s="5"/>
      <c r="D15" s="5"/>
      <c r="E15" s="5"/>
      <c r="F15" s="5"/>
      <c r="G15" s="5"/>
      <c r="H15" s="5"/>
      <c r="I15" s="22"/>
      <c r="J15" s="16" t="str">
        <f aca="false">IF(SUM($C$5:C15)=0,"",SUM($G$5:G15)/SUM($C$5:C15))</f>
        <v/>
      </c>
      <c r="K15" s="4" t="str">
        <f aca="false">IF(COUNT(C15)=0,"",SUM($C$5:C15))</f>
        <v/>
      </c>
      <c r="L15" s="4" t="str">
        <f aca="false">IF(AND(COUNT(C15)=1,COUNT(C14)=1),IF(AND(C15&lt;Obiettivi!$C$5,C14&lt;Obiettivi!$C$5),"SEGNALE",""),"")</f>
        <v/>
      </c>
      <c r="M15" s="23"/>
    </row>
    <row r="16" customFormat="false" ht="15" hidden="false" customHeight="false" outlineLevel="0" collapsed="false">
      <c r="A16" s="4" t="n">
        <v>12</v>
      </c>
      <c r="B16" s="21" t="n">
        <v>46398</v>
      </c>
      <c r="C16" s="5"/>
      <c r="D16" s="5"/>
      <c r="E16" s="5"/>
      <c r="F16" s="5"/>
      <c r="G16" s="5"/>
      <c r="H16" s="5"/>
      <c r="I16" s="22"/>
      <c r="J16" s="16" t="str">
        <f aca="false">IF(SUM($C$5:C16)=0,"",SUM($G$5:G16)/SUM($C$5:C16))</f>
        <v/>
      </c>
      <c r="K16" s="4" t="str">
        <f aca="false">IF(COUNT(C16)=0,"",SUM($C$5:C16))</f>
        <v/>
      </c>
      <c r="L16" s="4" t="str">
        <f aca="false">IF(AND(COUNT(C16)=1,COUNT(C15)=1),IF(AND(C16&lt;Obiettivi!$C$5,C15&lt;Obiettivi!$C$5),"SEGNALE",""),"")</f>
        <v/>
      </c>
      <c r="M16" s="23"/>
    </row>
    <row r="17" customFormat="false" ht="15" hidden="false" customHeight="false" outlineLevel="0" collapsed="false">
      <c r="A17" s="4" t="n">
        <v>13</v>
      </c>
      <c r="B17" s="21" t="n">
        <v>46405</v>
      </c>
      <c r="C17" s="5"/>
      <c r="D17" s="5"/>
      <c r="E17" s="5"/>
      <c r="F17" s="5"/>
      <c r="G17" s="5"/>
      <c r="H17" s="5"/>
      <c r="I17" s="22"/>
      <c r="J17" s="16" t="str">
        <f aca="false">IF(SUM($C$5:C17)=0,"",SUM($G$5:G17)/SUM($C$5:C17))</f>
        <v/>
      </c>
      <c r="K17" s="4" t="str">
        <f aca="false">IF(COUNT(C17)=0,"",SUM($C$5:C17))</f>
        <v/>
      </c>
      <c r="L17" s="4" t="str">
        <f aca="false">IF(AND(COUNT(C17)=1,COUNT(C16)=1),IF(AND(C17&lt;Obiettivi!$C$5,C16&lt;Obiettivi!$C$5),"SEGNALE",""),"")</f>
        <v/>
      </c>
      <c r="M17" s="23"/>
    </row>
    <row r="18" customFormat="false" ht="15" hidden="false" customHeight="false" outlineLevel="0" collapsed="false">
      <c r="A18" s="4" t="n">
        <v>14</v>
      </c>
      <c r="B18" s="21" t="n">
        <v>46412</v>
      </c>
      <c r="C18" s="5"/>
      <c r="D18" s="5"/>
      <c r="E18" s="5"/>
      <c r="F18" s="5"/>
      <c r="G18" s="5"/>
      <c r="H18" s="5"/>
      <c r="I18" s="22"/>
      <c r="J18" s="16" t="str">
        <f aca="false">IF(SUM($C$5:C18)=0,"",SUM($G$5:G18)/SUM($C$5:C18))</f>
        <v/>
      </c>
      <c r="K18" s="4" t="str">
        <f aca="false">IF(COUNT(C18)=0,"",SUM($C$5:C18))</f>
        <v/>
      </c>
      <c r="L18" s="4" t="str">
        <f aca="false">IF(AND(COUNT(C18)=1,COUNT(C17)=1),IF(AND(C18&lt;Obiettivi!$C$5,C17&lt;Obiettivi!$C$5),"SEGNALE",""),"")</f>
        <v/>
      </c>
      <c r="M18" s="23"/>
    </row>
    <row r="19" customFormat="false" ht="15" hidden="false" customHeight="false" outlineLevel="0" collapsed="false">
      <c r="A19" s="4" t="n">
        <v>15</v>
      </c>
      <c r="B19" s="21" t="n">
        <v>46419</v>
      </c>
      <c r="C19" s="5"/>
      <c r="D19" s="5"/>
      <c r="E19" s="5"/>
      <c r="F19" s="5"/>
      <c r="G19" s="5"/>
      <c r="H19" s="5"/>
      <c r="I19" s="22"/>
      <c r="J19" s="16" t="str">
        <f aca="false">IF(SUM($C$5:C19)=0,"",SUM($G$5:G19)/SUM($C$5:C19))</f>
        <v/>
      </c>
      <c r="K19" s="4" t="str">
        <f aca="false">IF(COUNT(C19)=0,"",SUM($C$5:C19))</f>
        <v/>
      </c>
      <c r="L19" s="4" t="str">
        <f aca="false">IF(AND(COUNT(C19)=1,COUNT(C18)=1),IF(AND(C19&lt;Obiettivi!$C$5,C18&lt;Obiettivi!$C$5),"SEGNALE",""),"")</f>
        <v/>
      </c>
      <c r="M19" s="23"/>
    </row>
    <row r="20" customFormat="false" ht="15" hidden="false" customHeight="false" outlineLevel="0" collapsed="false">
      <c r="A20" s="4" t="n">
        <v>16</v>
      </c>
      <c r="B20" s="21" t="n">
        <v>46426</v>
      </c>
      <c r="C20" s="5"/>
      <c r="D20" s="5"/>
      <c r="E20" s="5"/>
      <c r="F20" s="5"/>
      <c r="G20" s="5"/>
      <c r="H20" s="5"/>
      <c r="I20" s="22"/>
      <c r="J20" s="16" t="str">
        <f aca="false">IF(SUM($C$5:C20)=0,"",SUM($G$5:G20)/SUM($C$5:C20))</f>
        <v/>
      </c>
      <c r="K20" s="4" t="str">
        <f aca="false">IF(COUNT(C20)=0,"",SUM($C$5:C20))</f>
        <v/>
      </c>
      <c r="L20" s="4" t="str">
        <f aca="false">IF(AND(COUNT(C20)=1,COUNT(C19)=1),IF(AND(C20&lt;Obiettivi!$C$5,C19&lt;Obiettivi!$C$5),"SEGNALE",""),"")</f>
        <v/>
      </c>
      <c r="M20" s="23"/>
    </row>
    <row r="21" customFormat="false" ht="15" hidden="false" customHeight="false" outlineLevel="0" collapsed="false">
      <c r="A21" s="4" t="n">
        <v>17</v>
      </c>
      <c r="B21" s="21" t="n">
        <v>46433</v>
      </c>
      <c r="C21" s="5"/>
      <c r="D21" s="5"/>
      <c r="E21" s="5"/>
      <c r="F21" s="5"/>
      <c r="G21" s="5"/>
      <c r="H21" s="5"/>
      <c r="I21" s="22"/>
      <c r="J21" s="16" t="str">
        <f aca="false">IF(SUM($C$5:C21)=0,"",SUM($G$5:G21)/SUM($C$5:C21))</f>
        <v/>
      </c>
      <c r="K21" s="4" t="str">
        <f aca="false">IF(COUNT(C21)=0,"",SUM($C$5:C21))</f>
        <v/>
      </c>
      <c r="L21" s="4" t="str">
        <f aca="false">IF(AND(COUNT(C21)=1,COUNT(C20)=1),IF(AND(C21&lt;Obiettivi!$C$5,C20&lt;Obiettivi!$C$5),"SEGNALE",""),"")</f>
        <v/>
      </c>
      <c r="M21" s="23"/>
    </row>
    <row r="22" customFormat="false" ht="15" hidden="false" customHeight="false" outlineLevel="0" collapsed="false">
      <c r="A22" s="4" t="n">
        <v>18</v>
      </c>
      <c r="B22" s="21" t="n">
        <v>46440</v>
      </c>
      <c r="C22" s="5"/>
      <c r="D22" s="5"/>
      <c r="E22" s="5"/>
      <c r="F22" s="5"/>
      <c r="G22" s="5"/>
      <c r="H22" s="5"/>
      <c r="I22" s="22"/>
      <c r="J22" s="16" t="str">
        <f aca="false">IF(SUM($C$5:C22)=0,"",SUM($G$5:G22)/SUM($C$5:C22))</f>
        <v/>
      </c>
      <c r="K22" s="4" t="str">
        <f aca="false">IF(COUNT(C22)=0,"",SUM($C$5:C22))</f>
        <v/>
      </c>
      <c r="L22" s="4" t="str">
        <f aca="false">IF(AND(COUNT(C22)=1,COUNT(C21)=1),IF(AND(C22&lt;Obiettivi!$C$5,C21&lt;Obiettivi!$C$5),"SEGNALE",""),"")</f>
        <v/>
      </c>
      <c r="M22" s="23"/>
    </row>
    <row r="23" customFormat="false" ht="15" hidden="false" customHeight="false" outlineLevel="0" collapsed="false">
      <c r="A23" s="4" t="n">
        <v>19</v>
      </c>
      <c r="B23" s="21" t="n">
        <v>46447</v>
      </c>
      <c r="C23" s="5"/>
      <c r="D23" s="5"/>
      <c r="E23" s="5"/>
      <c r="F23" s="5"/>
      <c r="G23" s="5"/>
      <c r="H23" s="5"/>
      <c r="I23" s="22"/>
      <c r="J23" s="16" t="str">
        <f aca="false">IF(SUM($C$5:C23)=0,"",SUM($G$5:G23)/SUM($C$5:C23))</f>
        <v/>
      </c>
      <c r="K23" s="4" t="str">
        <f aca="false">IF(COUNT(C23)=0,"",SUM($C$5:C23))</f>
        <v/>
      </c>
      <c r="L23" s="4" t="str">
        <f aca="false">IF(AND(COUNT(C23)=1,COUNT(C22)=1),IF(AND(C23&lt;Obiettivi!$C$5,C22&lt;Obiettivi!$C$5),"SEGNALE",""),"")</f>
        <v/>
      </c>
      <c r="M23" s="23"/>
    </row>
    <row r="24" customFormat="false" ht="15" hidden="false" customHeight="false" outlineLevel="0" collapsed="false">
      <c r="A24" s="4" t="n">
        <v>20</v>
      </c>
      <c r="B24" s="21" t="n">
        <v>46454</v>
      </c>
      <c r="C24" s="5"/>
      <c r="D24" s="5"/>
      <c r="E24" s="5"/>
      <c r="F24" s="5"/>
      <c r="G24" s="5"/>
      <c r="H24" s="5"/>
      <c r="I24" s="22"/>
      <c r="J24" s="16" t="str">
        <f aca="false">IF(SUM($C$5:C24)=0,"",SUM($G$5:G24)/SUM($C$5:C24))</f>
        <v/>
      </c>
      <c r="K24" s="4" t="str">
        <f aca="false">IF(COUNT(C24)=0,"",SUM($C$5:C24))</f>
        <v/>
      </c>
      <c r="L24" s="4" t="str">
        <f aca="false">IF(AND(COUNT(C24)=1,COUNT(C23)=1),IF(AND(C24&lt;Obiettivi!$C$5,C23&lt;Obiettivi!$C$5),"SEGNALE",""),"")</f>
        <v/>
      </c>
      <c r="M24" s="23"/>
    </row>
    <row r="25" customFormat="false" ht="15" hidden="false" customHeight="false" outlineLevel="0" collapsed="false">
      <c r="A25" s="4" t="n">
        <v>21</v>
      </c>
      <c r="B25" s="21" t="n">
        <v>46461</v>
      </c>
      <c r="C25" s="5"/>
      <c r="D25" s="5"/>
      <c r="E25" s="5"/>
      <c r="F25" s="5"/>
      <c r="G25" s="5"/>
      <c r="H25" s="5"/>
      <c r="I25" s="22"/>
      <c r="J25" s="16" t="str">
        <f aca="false">IF(SUM($C$5:C25)=0,"",SUM($G$5:G25)/SUM($C$5:C25))</f>
        <v/>
      </c>
      <c r="K25" s="4" t="str">
        <f aca="false">IF(COUNT(C25)=0,"",SUM($C$5:C25))</f>
        <v/>
      </c>
      <c r="L25" s="4" t="str">
        <f aca="false">IF(AND(COUNT(C25)=1,COUNT(C24)=1),IF(AND(C25&lt;Obiettivi!$C$5,C24&lt;Obiettivi!$C$5),"SEGNALE",""),"")</f>
        <v/>
      </c>
      <c r="M25" s="23"/>
    </row>
    <row r="26" customFormat="false" ht="15" hidden="false" customHeight="false" outlineLevel="0" collapsed="false">
      <c r="A26" s="4" t="n">
        <v>22</v>
      </c>
      <c r="B26" s="21" t="n">
        <v>46468</v>
      </c>
      <c r="C26" s="5"/>
      <c r="D26" s="5"/>
      <c r="E26" s="5"/>
      <c r="F26" s="5"/>
      <c r="G26" s="5"/>
      <c r="H26" s="5"/>
      <c r="I26" s="22"/>
      <c r="J26" s="16" t="str">
        <f aca="false">IF(SUM($C$5:C26)=0,"",SUM($G$5:G26)/SUM($C$5:C26))</f>
        <v/>
      </c>
      <c r="K26" s="4" t="str">
        <f aca="false">IF(COUNT(C26)=0,"",SUM($C$5:C26))</f>
        <v/>
      </c>
      <c r="L26" s="4" t="str">
        <f aca="false">IF(AND(COUNT(C26)=1,COUNT(C25)=1),IF(AND(C26&lt;Obiettivi!$C$5,C25&lt;Obiettivi!$C$5),"SEGNALE",""),"")</f>
        <v/>
      </c>
      <c r="M26" s="23"/>
    </row>
    <row r="27" customFormat="false" ht="15" hidden="false" customHeight="false" outlineLevel="0" collapsed="false">
      <c r="A27" s="4" t="n">
        <v>23</v>
      </c>
      <c r="B27" s="21" t="n">
        <v>46475</v>
      </c>
      <c r="C27" s="5"/>
      <c r="D27" s="5"/>
      <c r="E27" s="5"/>
      <c r="F27" s="5"/>
      <c r="G27" s="5"/>
      <c r="H27" s="5"/>
      <c r="I27" s="22"/>
      <c r="J27" s="16" t="str">
        <f aca="false">IF(SUM($C$5:C27)=0,"",SUM($G$5:G27)/SUM($C$5:C27))</f>
        <v/>
      </c>
      <c r="K27" s="4" t="str">
        <f aca="false">IF(COUNT(C27)=0,"",SUM($C$5:C27))</f>
        <v/>
      </c>
      <c r="L27" s="4" t="str">
        <f aca="false">IF(AND(COUNT(C27)=1,COUNT(C26)=1),IF(AND(C27&lt;Obiettivi!$C$5,C26&lt;Obiettivi!$C$5),"SEGNALE",""),"")</f>
        <v/>
      </c>
      <c r="M27" s="23"/>
    </row>
    <row r="28" customFormat="false" ht="15" hidden="false" customHeight="false" outlineLevel="0" collapsed="false">
      <c r="A28" s="4" t="n">
        <v>24</v>
      </c>
      <c r="B28" s="21" t="n">
        <v>46482</v>
      </c>
      <c r="C28" s="5"/>
      <c r="D28" s="5"/>
      <c r="E28" s="5"/>
      <c r="F28" s="5"/>
      <c r="G28" s="5"/>
      <c r="H28" s="5"/>
      <c r="I28" s="22"/>
      <c r="J28" s="16" t="str">
        <f aca="false">IF(SUM($C$5:C28)=0,"",SUM($G$5:G28)/SUM($C$5:C28))</f>
        <v/>
      </c>
      <c r="K28" s="4" t="str">
        <f aca="false">IF(COUNT(C28)=0,"",SUM($C$5:C28))</f>
        <v/>
      </c>
      <c r="L28" s="4" t="str">
        <f aca="false">IF(AND(COUNT(C28)=1,COUNT(C27)=1),IF(AND(C28&lt;Obiettivi!$C$5,C27&lt;Obiettivi!$C$5),"SEGNALE",""),"")</f>
        <v/>
      </c>
      <c r="M28" s="23"/>
    </row>
    <row r="29" customFormat="false" ht="15" hidden="false" customHeight="false" outlineLevel="0" collapsed="false">
      <c r="A29" s="4" t="n">
        <v>25</v>
      </c>
      <c r="B29" s="21" t="n">
        <v>46489</v>
      </c>
      <c r="C29" s="5"/>
      <c r="D29" s="5"/>
      <c r="E29" s="5"/>
      <c r="F29" s="5"/>
      <c r="G29" s="5"/>
      <c r="H29" s="5"/>
      <c r="I29" s="22"/>
      <c r="J29" s="16" t="str">
        <f aca="false">IF(SUM($C$5:C29)=0,"",SUM($G$5:G29)/SUM($C$5:C29))</f>
        <v/>
      </c>
      <c r="K29" s="4" t="str">
        <f aca="false">IF(COUNT(C29)=0,"",SUM($C$5:C29))</f>
        <v/>
      </c>
      <c r="L29" s="4" t="str">
        <f aca="false">IF(AND(COUNT(C29)=1,COUNT(C28)=1),IF(AND(C29&lt;Obiettivi!$C$5,C28&lt;Obiettivi!$C$5),"SEGNALE",""),"")</f>
        <v/>
      </c>
      <c r="M29" s="23"/>
    </row>
    <row r="30" customFormat="false" ht="15" hidden="false" customHeight="false" outlineLevel="0" collapsed="false">
      <c r="A30" s="4" t="n">
        <v>26</v>
      </c>
      <c r="B30" s="21" t="n">
        <v>46496</v>
      </c>
      <c r="C30" s="5"/>
      <c r="D30" s="5"/>
      <c r="E30" s="5"/>
      <c r="F30" s="5"/>
      <c r="G30" s="5"/>
      <c r="H30" s="5"/>
      <c r="I30" s="22"/>
      <c r="J30" s="16" t="str">
        <f aca="false">IF(SUM($C$5:C30)=0,"",SUM($G$5:G30)/SUM($C$5:C30))</f>
        <v/>
      </c>
      <c r="K30" s="4" t="str">
        <f aca="false">IF(COUNT(C30)=0,"",SUM($C$5:C30))</f>
        <v/>
      </c>
      <c r="L30" s="4" t="str">
        <f aca="false">IF(AND(COUNT(C30)=1,COUNT(C29)=1),IF(AND(C30&lt;Obiettivi!$C$5,C29&lt;Obiettivi!$C$5),"SEGNALE",""),"")</f>
        <v/>
      </c>
      <c r="M30" s="23"/>
    </row>
    <row r="31" customFormat="false" ht="15" hidden="false" customHeight="false" outlineLevel="0" collapsed="false">
      <c r="A31" s="4" t="n">
        <v>27</v>
      </c>
      <c r="B31" s="21" t="n">
        <v>46503</v>
      </c>
      <c r="C31" s="5"/>
      <c r="D31" s="5"/>
      <c r="E31" s="5"/>
      <c r="F31" s="5"/>
      <c r="G31" s="5"/>
      <c r="H31" s="5"/>
      <c r="I31" s="22"/>
      <c r="J31" s="16" t="str">
        <f aca="false">IF(SUM($C$5:C31)=0,"",SUM($G$5:G31)/SUM($C$5:C31))</f>
        <v/>
      </c>
      <c r="K31" s="4" t="str">
        <f aca="false">IF(COUNT(C31)=0,"",SUM($C$5:C31))</f>
        <v/>
      </c>
      <c r="L31" s="4" t="str">
        <f aca="false">IF(AND(COUNT(C31)=1,COUNT(C30)=1),IF(AND(C31&lt;Obiettivi!$C$5,C30&lt;Obiettivi!$C$5),"SEGNALE",""),"")</f>
        <v/>
      </c>
      <c r="M31" s="23"/>
    </row>
    <row r="32" customFormat="false" ht="15" hidden="false" customHeight="false" outlineLevel="0" collapsed="false">
      <c r="A32" s="4" t="n">
        <v>28</v>
      </c>
      <c r="B32" s="21" t="n">
        <v>46510</v>
      </c>
      <c r="C32" s="5"/>
      <c r="D32" s="5"/>
      <c r="E32" s="5"/>
      <c r="F32" s="5"/>
      <c r="G32" s="5"/>
      <c r="H32" s="5"/>
      <c r="I32" s="22"/>
      <c r="J32" s="16" t="str">
        <f aca="false">IF(SUM($C$5:C32)=0,"",SUM($G$5:G32)/SUM($C$5:C32))</f>
        <v/>
      </c>
      <c r="K32" s="4" t="str">
        <f aca="false">IF(COUNT(C32)=0,"",SUM($C$5:C32))</f>
        <v/>
      </c>
      <c r="L32" s="4" t="str">
        <f aca="false">IF(AND(COUNT(C32)=1,COUNT(C31)=1),IF(AND(C32&lt;Obiettivi!$C$5,C31&lt;Obiettivi!$C$5),"SEGNALE",""),"")</f>
        <v/>
      </c>
      <c r="M32" s="23"/>
    </row>
    <row r="33" customFormat="false" ht="15" hidden="false" customHeight="false" outlineLevel="0" collapsed="false">
      <c r="A33" s="4" t="n">
        <v>29</v>
      </c>
      <c r="B33" s="21" t="n">
        <v>46517</v>
      </c>
      <c r="C33" s="5"/>
      <c r="D33" s="5"/>
      <c r="E33" s="5"/>
      <c r="F33" s="5"/>
      <c r="G33" s="5"/>
      <c r="H33" s="5"/>
      <c r="I33" s="22"/>
      <c r="J33" s="16" t="str">
        <f aca="false">IF(SUM($C$5:C33)=0,"",SUM($G$5:G33)/SUM($C$5:C33))</f>
        <v/>
      </c>
      <c r="K33" s="4" t="str">
        <f aca="false">IF(COUNT(C33)=0,"",SUM($C$5:C33))</f>
        <v/>
      </c>
      <c r="L33" s="4" t="str">
        <f aca="false">IF(AND(COUNT(C33)=1,COUNT(C32)=1),IF(AND(C33&lt;Obiettivi!$C$5,C32&lt;Obiettivi!$C$5),"SEGNALE",""),"")</f>
        <v/>
      </c>
      <c r="M33" s="23"/>
    </row>
    <row r="34" customFormat="false" ht="15" hidden="false" customHeight="false" outlineLevel="0" collapsed="false">
      <c r="A34" s="4" t="n">
        <v>30</v>
      </c>
      <c r="B34" s="21" t="n">
        <v>46524</v>
      </c>
      <c r="C34" s="5"/>
      <c r="D34" s="5"/>
      <c r="E34" s="5"/>
      <c r="F34" s="5"/>
      <c r="G34" s="5"/>
      <c r="H34" s="5"/>
      <c r="I34" s="22"/>
      <c r="J34" s="16" t="str">
        <f aca="false">IF(SUM($C$5:C34)=0,"",SUM($G$5:G34)/SUM($C$5:C34))</f>
        <v/>
      </c>
      <c r="K34" s="4" t="str">
        <f aca="false">IF(COUNT(C34)=0,"",SUM($C$5:C34))</f>
        <v/>
      </c>
      <c r="L34" s="4" t="str">
        <f aca="false">IF(AND(COUNT(C34)=1,COUNT(C33)=1),IF(AND(C34&lt;Obiettivi!$C$5,C33&lt;Obiettivi!$C$5),"SEGNALE",""),"")</f>
        <v/>
      </c>
      <c r="M34" s="23"/>
    </row>
    <row r="35" customFormat="false" ht="15" hidden="false" customHeight="false" outlineLevel="0" collapsed="false">
      <c r="A35" s="4" t="n">
        <v>31</v>
      </c>
      <c r="B35" s="21" t="n">
        <v>46531</v>
      </c>
      <c r="C35" s="5"/>
      <c r="D35" s="5"/>
      <c r="E35" s="5"/>
      <c r="F35" s="5"/>
      <c r="G35" s="5"/>
      <c r="H35" s="5"/>
      <c r="I35" s="22"/>
      <c r="J35" s="16" t="str">
        <f aca="false">IF(SUM($C$5:C35)=0,"",SUM($G$5:G35)/SUM($C$5:C35))</f>
        <v/>
      </c>
      <c r="K35" s="4" t="str">
        <f aca="false">IF(COUNT(C35)=0,"",SUM($C$5:C35))</f>
        <v/>
      </c>
      <c r="L35" s="4" t="str">
        <f aca="false">IF(AND(COUNT(C35)=1,COUNT(C34)=1),IF(AND(C35&lt;Obiettivi!$C$5,C34&lt;Obiettivi!$C$5),"SEGNALE",""),"")</f>
        <v/>
      </c>
      <c r="M35" s="23"/>
    </row>
    <row r="36" customFormat="false" ht="15" hidden="false" customHeight="false" outlineLevel="0" collapsed="false">
      <c r="A36" s="4" t="n">
        <v>32</v>
      </c>
      <c r="B36" s="21" t="n">
        <v>46538</v>
      </c>
      <c r="C36" s="5"/>
      <c r="D36" s="5"/>
      <c r="E36" s="5"/>
      <c r="F36" s="5"/>
      <c r="G36" s="5"/>
      <c r="H36" s="5"/>
      <c r="I36" s="22"/>
      <c r="J36" s="16" t="str">
        <f aca="false">IF(SUM($C$5:C36)=0,"",SUM($G$5:G36)/SUM($C$5:C36))</f>
        <v/>
      </c>
      <c r="K36" s="4" t="str">
        <f aca="false">IF(COUNT(C36)=0,"",SUM($C$5:C36))</f>
        <v/>
      </c>
      <c r="L36" s="4" t="str">
        <f aca="false">IF(AND(COUNT(C36)=1,COUNT(C35)=1),IF(AND(C36&lt;Obiettivi!$C$5,C35&lt;Obiettivi!$C$5),"SEGNALE",""),"")</f>
        <v/>
      </c>
      <c r="M36" s="23"/>
    </row>
    <row r="37" customFormat="false" ht="15" hidden="false" customHeight="false" outlineLevel="0" collapsed="false">
      <c r="A37" s="4" t="n">
        <v>33</v>
      </c>
      <c r="B37" s="21" t="n">
        <v>46545</v>
      </c>
      <c r="C37" s="5"/>
      <c r="D37" s="5"/>
      <c r="E37" s="5"/>
      <c r="F37" s="5"/>
      <c r="G37" s="5"/>
      <c r="H37" s="5"/>
      <c r="I37" s="22"/>
      <c r="J37" s="16" t="str">
        <f aca="false">IF(SUM($C$5:C37)=0,"",SUM($G$5:G37)/SUM($C$5:C37))</f>
        <v/>
      </c>
      <c r="K37" s="4" t="str">
        <f aca="false">IF(COUNT(C37)=0,"",SUM($C$5:C37))</f>
        <v/>
      </c>
      <c r="L37" s="4" t="str">
        <f aca="false">IF(AND(COUNT(C37)=1,COUNT(C36)=1),IF(AND(C37&lt;Obiettivi!$C$5,C36&lt;Obiettivi!$C$5),"SEGNALE",""),"")</f>
        <v/>
      </c>
      <c r="M37" s="23"/>
    </row>
    <row r="38" customFormat="false" ht="15" hidden="false" customHeight="false" outlineLevel="0" collapsed="false">
      <c r="A38" s="4" t="n">
        <v>34</v>
      </c>
      <c r="B38" s="21" t="n">
        <v>46552</v>
      </c>
      <c r="C38" s="5"/>
      <c r="D38" s="5"/>
      <c r="E38" s="5"/>
      <c r="F38" s="5"/>
      <c r="G38" s="5"/>
      <c r="H38" s="5"/>
      <c r="I38" s="22"/>
      <c r="J38" s="16" t="str">
        <f aca="false">IF(SUM($C$5:C38)=0,"",SUM($G$5:G38)/SUM($C$5:C38))</f>
        <v/>
      </c>
      <c r="K38" s="4" t="str">
        <f aca="false">IF(COUNT(C38)=0,"",SUM($C$5:C38))</f>
        <v/>
      </c>
      <c r="L38" s="4" t="str">
        <f aca="false">IF(AND(COUNT(C38)=1,COUNT(C37)=1),IF(AND(C38&lt;Obiettivi!$C$5,C37&lt;Obiettivi!$C$5),"SEGNALE",""),"")</f>
        <v/>
      </c>
      <c r="M38" s="23"/>
    </row>
    <row r="39" customFormat="false" ht="15" hidden="false" customHeight="false" outlineLevel="0" collapsed="false">
      <c r="A39" s="4" t="n">
        <v>35</v>
      </c>
      <c r="B39" s="21" t="n">
        <v>46559</v>
      </c>
      <c r="C39" s="5"/>
      <c r="D39" s="5"/>
      <c r="E39" s="5"/>
      <c r="F39" s="5"/>
      <c r="G39" s="5"/>
      <c r="H39" s="5"/>
      <c r="I39" s="22"/>
      <c r="J39" s="16" t="str">
        <f aca="false">IF(SUM($C$5:C39)=0,"",SUM($G$5:G39)/SUM($C$5:C39))</f>
        <v/>
      </c>
      <c r="K39" s="4" t="str">
        <f aca="false">IF(COUNT(C39)=0,"",SUM($C$5:C39))</f>
        <v/>
      </c>
      <c r="L39" s="4" t="str">
        <f aca="false">IF(AND(COUNT(C39)=1,COUNT(C38)=1),IF(AND(C39&lt;Obiettivi!$C$5,C38&lt;Obiettivi!$C$5),"SEGNALE",""),"")</f>
        <v/>
      </c>
      <c r="M39" s="23"/>
    </row>
    <row r="40" customFormat="false" ht="15" hidden="false" customHeight="false" outlineLevel="0" collapsed="false">
      <c r="A40" s="4" t="n">
        <v>36</v>
      </c>
      <c r="B40" s="21" t="n">
        <v>46566</v>
      </c>
      <c r="C40" s="5"/>
      <c r="D40" s="5"/>
      <c r="E40" s="5"/>
      <c r="F40" s="5"/>
      <c r="G40" s="5"/>
      <c r="H40" s="5"/>
      <c r="I40" s="22"/>
      <c r="J40" s="16" t="str">
        <f aca="false">IF(SUM($C$5:C40)=0,"",SUM($G$5:G40)/SUM($C$5:C40))</f>
        <v/>
      </c>
      <c r="K40" s="4" t="str">
        <f aca="false">IF(COUNT(C40)=0,"",SUM($C$5:C40))</f>
        <v/>
      </c>
      <c r="L40" s="4" t="str">
        <f aca="false">IF(AND(COUNT(C40)=1,COUNT(C39)=1),IF(AND(C40&lt;Obiettivi!$C$5,C39&lt;Obiettivi!$C$5),"SEGNALE",""),"")</f>
        <v/>
      </c>
      <c r="M40" s="23"/>
    </row>
    <row r="41" customFormat="false" ht="15" hidden="false" customHeight="false" outlineLevel="0" collapsed="false">
      <c r="A41" s="4" t="n">
        <v>37</v>
      </c>
      <c r="B41" s="21" t="n">
        <v>46573</v>
      </c>
      <c r="C41" s="5"/>
      <c r="D41" s="5"/>
      <c r="E41" s="5"/>
      <c r="F41" s="5"/>
      <c r="G41" s="5"/>
      <c r="H41" s="5"/>
      <c r="I41" s="22"/>
      <c r="J41" s="16" t="str">
        <f aca="false">IF(SUM($C$5:C41)=0,"",SUM($G$5:G41)/SUM($C$5:C41))</f>
        <v/>
      </c>
      <c r="K41" s="4" t="str">
        <f aca="false">IF(COUNT(C41)=0,"",SUM($C$5:C41))</f>
        <v/>
      </c>
      <c r="L41" s="4" t="str">
        <f aca="false">IF(AND(COUNT(C41)=1,COUNT(C40)=1),IF(AND(C41&lt;Obiettivi!$C$5,C40&lt;Obiettivi!$C$5),"SEGNALE",""),"")</f>
        <v/>
      </c>
      <c r="M41" s="23"/>
    </row>
    <row r="42" customFormat="false" ht="15" hidden="false" customHeight="false" outlineLevel="0" collapsed="false">
      <c r="A42" s="4" t="n">
        <v>38</v>
      </c>
      <c r="B42" s="21" t="n">
        <v>46580</v>
      </c>
      <c r="C42" s="5"/>
      <c r="D42" s="5"/>
      <c r="E42" s="5"/>
      <c r="F42" s="5"/>
      <c r="G42" s="5"/>
      <c r="H42" s="5"/>
      <c r="I42" s="22"/>
      <c r="J42" s="16" t="str">
        <f aca="false">IF(SUM($C$5:C42)=0,"",SUM($G$5:G42)/SUM($C$5:C42))</f>
        <v/>
      </c>
      <c r="K42" s="4" t="str">
        <f aca="false">IF(COUNT(C42)=0,"",SUM($C$5:C42))</f>
        <v/>
      </c>
      <c r="L42" s="4" t="str">
        <f aca="false">IF(AND(COUNT(C42)=1,COUNT(C41)=1),IF(AND(C42&lt;Obiettivi!$C$5,C41&lt;Obiettivi!$C$5),"SEGNALE",""),"")</f>
        <v/>
      </c>
      <c r="M42" s="23"/>
    </row>
    <row r="43" customFormat="false" ht="15" hidden="false" customHeight="false" outlineLevel="0" collapsed="false">
      <c r="A43" s="4" t="n">
        <v>39</v>
      </c>
      <c r="B43" s="21" t="n">
        <v>46587</v>
      </c>
      <c r="C43" s="5"/>
      <c r="D43" s="5"/>
      <c r="E43" s="5"/>
      <c r="F43" s="5"/>
      <c r="G43" s="5"/>
      <c r="H43" s="5"/>
      <c r="I43" s="22"/>
      <c r="J43" s="16" t="str">
        <f aca="false">IF(SUM($C$5:C43)=0,"",SUM($G$5:G43)/SUM($C$5:C43))</f>
        <v/>
      </c>
      <c r="K43" s="4" t="str">
        <f aca="false">IF(COUNT(C43)=0,"",SUM($C$5:C43))</f>
        <v/>
      </c>
      <c r="L43" s="4" t="str">
        <f aca="false">IF(AND(COUNT(C43)=1,COUNT(C42)=1),IF(AND(C43&lt;Obiettivi!$C$5,C42&lt;Obiettivi!$C$5),"SEGNALE",""),"")</f>
        <v/>
      </c>
      <c r="M43" s="23"/>
    </row>
    <row r="44" customFormat="false" ht="15" hidden="false" customHeight="false" outlineLevel="0" collapsed="false">
      <c r="A44" s="4" t="n">
        <v>40</v>
      </c>
      <c r="B44" s="21" t="n">
        <v>46594</v>
      </c>
      <c r="C44" s="5"/>
      <c r="D44" s="5"/>
      <c r="E44" s="5"/>
      <c r="F44" s="5"/>
      <c r="G44" s="5"/>
      <c r="H44" s="5"/>
      <c r="I44" s="22"/>
      <c r="J44" s="16" t="str">
        <f aca="false">IF(SUM($C$5:C44)=0,"",SUM($G$5:G44)/SUM($C$5:C44))</f>
        <v/>
      </c>
      <c r="K44" s="4" t="str">
        <f aca="false">IF(COUNT(C44)=0,"",SUM($C$5:C44))</f>
        <v/>
      </c>
      <c r="L44" s="4" t="str">
        <f aca="false">IF(AND(COUNT(C44)=1,COUNT(C43)=1),IF(AND(C44&lt;Obiettivi!$C$5,C43&lt;Obiettivi!$C$5),"SEGNALE",""),"")</f>
        <v/>
      </c>
      <c r="M44" s="23"/>
    </row>
    <row r="45" customFormat="false" ht="15" hidden="false" customHeight="false" outlineLevel="0" collapsed="false">
      <c r="A45" s="4" t="n">
        <v>41</v>
      </c>
      <c r="B45" s="21" t="n">
        <v>46601</v>
      </c>
      <c r="C45" s="5"/>
      <c r="D45" s="5"/>
      <c r="E45" s="5"/>
      <c r="F45" s="5"/>
      <c r="G45" s="5"/>
      <c r="H45" s="5"/>
      <c r="I45" s="22"/>
      <c r="J45" s="16" t="str">
        <f aca="false">IF(SUM($C$5:C45)=0,"",SUM($G$5:G45)/SUM($C$5:C45))</f>
        <v/>
      </c>
      <c r="K45" s="4" t="str">
        <f aca="false">IF(COUNT(C45)=0,"",SUM($C$5:C45))</f>
        <v/>
      </c>
      <c r="L45" s="4" t="str">
        <f aca="false">IF(AND(COUNT(C45)=1,COUNT(C44)=1),IF(AND(C45&lt;Obiettivi!$C$5,C44&lt;Obiettivi!$C$5),"SEGNALE",""),"")</f>
        <v/>
      </c>
      <c r="M45" s="23"/>
    </row>
    <row r="46" customFormat="false" ht="15" hidden="false" customHeight="false" outlineLevel="0" collapsed="false">
      <c r="A46" s="4" t="n">
        <v>42</v>
      </c>
      <c r="B46" s="21" t="n">
        <v>46608</v>
      </c>
      <c r="C46" s="5"/>
      <c r="D46" s="5"/>
      <c r="E46" s="5"/>
      <c r="F46" s="5"/>
      <c r="G46" s="5"/>
      <c r="H46" s="5"/>
      <c r="I46" s="22"/>
      <c r="J46" s="16" t="str">
        <f aca="false">IF(SUM($C$5:C46)=0,"",SUM($G$5:G46)/SUM($C$5:C46))</f>
        <v/>
      </c>
      <c r="K46" s="4" t="str">
        <f aca="false">IF(COUNT(C46)=0,"",SUM($C$5:C46))</f>
        <v/>
      </c>
      <c r="L46" s="4" t="str">
        <f aca="false">IF(AND(COUNT(C46)=1,COUNT(C45)=1),IF(AND(C46&lt;Obiettivi!$C$5,C45&lt;Obiettivi!$C$5),"SEGNALE",""),"")</f>
        <v/>
      </c>
      <c r="M46" s="23"/>
    </row>
    <row r="47" customFormat="false" ht="15" hidden="false" customHeight="false" outlineLevel="0" collapsed="false">
      <c r="A47" s="4" t="n">
        <v>43</v>
      </c>
      <c r="B47" s="21" t="n">
        <v>46615</v>
      </c>
      <c r="C47" s="5"/>
      <c r="D47" s="5"/>
      <c r="E47" s="5"/>
      <c r="F47" s="5"/>
      <c r="G47" s="5"/>
      <c r="H47" s="5"/>
      <c r="I47" s="22"/>
      <c r="J47" s="16" t="str">
        <f aca="false">IF(SUM($C$5:C47)=0,"",SUM($G$5:G47)/SUM($C$5:C47))</f>
        <v/>
      </c>
      <c r="K47" s="4" t="str">
        <f aca="false">IF(COUNT(C47)=0,"",SUM($C$5:C47))</f>
        <v/>
      </c>
      <c r="L47" s="4" t="str">
        <f aca="false">IF(AND(COUNT(C47)=1,COUNT(C46)=1),IF(AND(C47&lt;Obiettivi!$C$5,C46&lt;Obiettivi!$C$5),"SEGNALE",""),"")</f>
        <v/>
      </c>
      <c r="M47" s="23"/>
    </row>
    <row r="48" customFormat="false" ht="15" hidden="false" customHeight="false" outlineLevel="0" collapsed="false">
      <c r="A48" s="4" t="n">
        <v>44</v>
      </c>
      <c r="B48" s="21" t="n">
        <v>46622</v>
      </c>
      <c r="C48" s="5"/>
      <c r="D48" s="5"/>
      <c r="E48" s="5"/>
      <c r="F48" s="5"/>
      <c r="G48" s="5"/>
      <c r="H48" s="5"/>
      <c r="I48" s="22"/>
      <c r="J48" s="16" t="str">
        <f aca="false">IF(SUM($C$5:C48)=0,"",SUM($G$5:G48)/SUM($C$5:C48))</f>
        <v/>
      </c>
      <c r="K48" s="4" t="str">
        <f aca="false">IF(COUNT(C48)=0,"",SUM($C$5:C48))</f>
        <v/>
      </c>
      <c r="L48" s="4" t="str">
        <f aca="false">IF(AND(COUNT(C48)=1,COUNT(C47)=1),IF(AND(C48&lt;Obiettivi!$C$5,C47&lt;Obiettivi!$C$5),"SEGNALE",""),"")</f>
        <v/>
      </c>
      <c r="M48" s="23"/>
    </row>
    <row r="49" customFormat="false" ht="15" hidden="false" customHeight="false" outlineLevel="0" collapsed="false">
      <c r="A49" s="4" t="n">
        <v>45</v>
      </c>
      <c r="B49" s="21" t="n">
        <v>46629</v>
      </c>
      <c r="C49" s="5"/>
      <c r="D49" s="5"/>
      <c r="E49" s="5"/>
      <c r="F49" s="5"/>
      <c r="G49" s="5"/>
      <c r="H49" s="5"/>
      <c r="I49" s="22"/>
      <c r="J49" s="16" t="str">
        <f aca="false">IF(SUM($C$5:C49)=0,"",SUM($G$5:G49)/SUM($C$5:C49))</f>
        <v/>
      </c>
      <c r="K49" s="4" t="str">
        <f aca="false">IF(COUNT(C49)=0,"",SUM($C$5:C49))</f>
        <v/>
      </c>
      <c r="L49" s="4" t="str">
        <f aca="false">IF(AND(COUNT(C49)=1,COUNT(C48)=1),IF(AND(C49&lt;Obiettivi!$C$5,C48&lt;Obiettivi!$C$5),"SEGNALE",""),"")</f>
        <v/>
      </c>
      <c r="M49" s="23"/>
    </row>
    <row r="50" customFormat="false" ht="15" hidden="false" customHeight="false" outlineLevel="0" collapsed="false">
      <c r="A50" s="4" t="n">
        <v>46</v>
      </c>
      <c r="B50" s="21" t="n">
        <v>46636</v>
      </c>
      <c r="C50" s="5"/>
      <c r="D50" s="5"/>
      <c r="E50" s="5"/>
      <c r="F50" s="5"/>
      <c r="G50" s="5"/>
      <c r="H50" s="5"/>
      <c r="I50" s="22"/>
      <c r="J50" s="16" t="str">
        <f aca="false">IF(SUM($C$5:C50)=0,"",SUM($G$5:G50)/SUM($C$5:C50))</f>
        <v/>
      </c>
      <c r="K50" s="4" t="str">
        <f aca="false">IF(COUNT(C50)=0,"",SUM($C$5:C50))</f>
        <v/>
      </c>
      <c r="L50" s="4" t="str">
        <f aca="false">IF(AND(COUNT(C50)=1,COUNT(C49)=1),IF(AND(C50&lt;Obiettivi!$C$5,C49&lt;Obiettivi!$C$5),"SEGNALE",""),"")</f>
        <v/>
      </c>
      <c r="M50" s="23"/>
    </row>
    <row r="51" customFormat="false" ht="15" hidden="false" customHeight="false" outlineLevel="0" collapsed="false">
      <c r="A51" s="4" t="n">
        <v>47</v>
      </c>
      <c r="B51" s="21" t="n">
        <v>46643</v>
      </c>
      <c r="C51" s="5"/>
      <c r="D51" s="5"/>
      <c r="E51" s="5"/>
      <c r="F51" s="5"/>
      <c r="G51" s="5"/>
      <c r="H51" s="5"/>
      <c r="I51" s="22"/>
      <c r="J51" s="16" t="str">
        <f aca="false">IF(SUM($C$5:C51)=0,"",SUM($G$5:G51)/SUM($C$5:C51))</f>
        <v/>
      </c>
      <c r="K51" s="4" t="str">
        <f aca="false">IF(COUNT(C51)=0,"",SUM($C$5:C51))</f>
        <v/>
      </c>
      <c r="L51" s="4" t="str">
        <f aca="false">IF(AND(COUNT(C51)=1,COUNT(C50)=1),IF(AND(C51&lt;Obiettivi!$C$5,C50&lt;Obiettivi!$C$5),"SEGNALE",""),"")</f>
        <v/>
      </c>
      <c r="M51" s="23"/>
    </row>
    <row r="52" customFormat="false" ht="15" hidden="false" customHeight="false" outlineLevel="0" collapsed="false">
      <c r="A52" s="4" t="n">
        <v>48</v>
      </c>
      <c r="B52" s="21" t="n">
        <v>46650</v>
      </c>
      <c r="C52" s="5"/>
      <c r="D52" s="5"/>
      <c r="E52" s="5"/>
      <c r="F52" s="5"/>
      <c r="G52" s="5"/>
      <c r="H52" s="5"/>
      <c r="I52" s="22"/>
      <c r="J52" s="16" t="str">
        <f aca="false">IF(SUM($C$5:C52)=0,"",SUM($G$5:G52)/SUM($C$5:C52))</f>
        <v/>
      </c>
      <c r="K52" s="4" t="str">
        <f aca="false">IF(COUNT(C52)=0,"",SUM($C$5:C52))</f>
        <v/>
      </c>
      <c r="L52" s="4" t="str">
        <f aca="false">IF(AND(COUNT(C52)=1,COUNT(C51)=1),IF(AND(C52&lt;Obiettivi!$C$5,C51&lt;Obiettivi!$C$5),"SEGNALE",""),"")</f>
        <v/>
      </c>
      <c r="M52" s="23"/>
    </row>
    <row r="53" customFormat="false" ht="15" hidden="false" customHeight="false" outlineLevel="0" collapsed="false">
      <c r="A53" s="4" t="n">
        <v>49</v>
      </c>
      <c r="B53" s="21" t="n">
        <v>46657</v>
      </c>
      <c r="C53" s="5"/>
      <c r="D53" s="5"/>
      <c r="E53" s="5"/>
      <c r="F53" s="5"/>
      <c r="G53" s="5"/>
      <c r="H53" s="5"/>
      <c r="I53" s="22"/>
      <c r="J53" s="16" t="str">
        <f aca="false">IF(SUM($C$5:C53)=0,"",SUM($G$5:G53)/SUM($C$5:C53))</f>
        <v/>
      </c>
      <c r="K53" s="4" t="str">
        <f aca="false">IF(COUNT(C53)=0,"",SUM($C$5:C53))</f>
        <v/>
      </c>
      <c r="L53" s="4" t="str">
        <f aca="false">IF(AND(COUNT(C53)=1,COUNT(C52)=1),IF(AND(C53&lt;Obiettivi!$C$5,C52&lt;Obiettivi!$C$5),"SEGNALE",""),"")</f>
        <v/>
      </c>
      <c r="M53" s="23"/>
    </row>
    <row r="54" customFormat="false" ht="15" hidden="false" customHeight="false" outlineLevel="0" collapsed="false">
      <c r="A54" s="4" t="n">
        <v>50</v>
      </c>
      <c r="B54" s="21" t="n">
        <v>46664</v>
      </c>
      <c r="C54" s="5"/>
      <c r="D54" s="5"/>
      <c r="E54" s="5"/>
      <c r="F54" s="5"/>
      <c r="G54" s="5"/>
      <c r="H54" s="5"/>
      <c r="I54" s="22"/>
      <c r="J54" s="16" t="str">
        <f aca="false">IF(SUM($C$5:C54)=0,"",SUM($G$5:G54)/SUM($C$5:C54))</f>
        <v/>
      </c>
      <c r="K54" s="4" t="str">
        <f aca="false">IF(COUNT(C54)=0,"",SUM($C$5:C54))</f>
        <v/>
      </c>
      <c r="L54" s="4" t="str">
        <f aca="false">IF(AND(COUNT(C54)=1,COUNT(C53)=1),IF(AND(C54&lt;Obiettivi!$C$5,C53&lt;Obiettivi!$C$5),"SEGNALE",""),"")</f>
        <v/>
      </c>
      <c r="M54" s="23"/>
    </row>
    <row r="55" customFormat="false" ht="15" hidden="false" customHeight="false" outlineLevel="0" collapsed="false">
      <c r="A55" s="4" t="n">
        <v>51</v>
      </c>
      <c r="B55" s="21" t="n">
        <v>46671</v>
      </c>
      <c r="C55" s="5"/>
      <c r="D55" s="5"/>
      <c r="E55" s="5"/>
      <c r="F55" s="5"/>
      <c r="G55" s="5"/>
      <c r="H55" s="5"/>
      <c r="I55" s="22"/>
      <c r="J55" s="16" t="str">
        <f aca="false">IF(SUM($C$5:C55)=0,"",SUM($G$5:G55)/SUM($C$5:C55))</f>
        <v/>
      </c>
      <c r="K55" s="4" t="str">
        <f aca="false">IF(COUNT(C55)=0,"",SUM($C$5:C55))</f>
        <v/>
      </c>
      <c r="L55" s="4" t="str">
        <f aca="false">IF(AND(COUNT(C55)=1,COUNT(C54)=1),IF(AND(C55&lt;Obiettivi!$C$5,C54&lt;Obiettivi!$C$5),"SEGNALE",""),"")</f>
        <v/>
      </c>
      <c r="M55" s="23"/>
    </row>
    <row r="56" customFormat="false" ht="15" hidden="false" customHeight="false" outlineLevel="0" collapsed="false">
      <c r="A56" s="4" t="n">
        <v>52</v>
      </c>
      <c r="B56" s="21" t="n">
        <v>46678</v>
      </c>
      <c r="C56" s="5"/>
      <c r="D56" s="5"/>
      <c r="E56" s="5"/>
      <c r="F56" s="5"/>
      <c r="G56" s="5"/>
      <c r="H56" s="5"/>
      <c r="I56" s="22"/>
      <c r="J56" s="16" t="str">
        <f aca="false">IF(SUM($C$5:C56)=0,"",SUM($G$5:G56)/SUM($C$5:C56))</f>
        <v/>
      </c>
      <c r="K56" s="4" t="str">
        <f aca="false">IF(COUNT(C56)=0,"",SUM($C$5:C56))</f>
        <v/>
      </c>
      <c r="L56" s="4" t="str">
        <f aca="false">IF(AND(COUNT(C56)=1,COUNT(C55)=1),IF(AND(C56&lt;Obiettivi!$C$5,C55&lt;Obiettivi!$C$5),"SEGNALE",""),"")</f>
        <v/>
      </c>
      <c r="M56" s="23"/>
    </row>
  </sheetData>
  <conditionalFormatting sqref="C5:C56">
    <cfRule type="expression" priority="2" aboveAverage="0" equalAverage="0" bottom="0" percent="0" rank="0" text="" dxfId="9">
      <formula>AND(ISNUMBER(C5),C5&lt;Obiettivi!$C$5)</formula>
    </cfRule>
  </conditionalFormatting>
  <conditionalFormatting sqref="D5:D56">
    <cfRule type="expression" priority="3" aboveAverage="0" equalAverage="0" bottom="0" percent="0" rank="0" text="" dxfId="9">
      <formula>AND(ISNUMBER(D5),D5&lt;Obiettivi!$C$6)</formula>
    </cfRule>
  </conditionalFormatting>
  <conditionalFormatting sqref="E5:E56">
    <cfRule type="expression" priority="4" aboveAverage="0" equalAverage="0" bottom="0" percent="0" rank="0" text="" dxfId="9">
      <formula>AND(ISNUMBER(E5),E5&lt;Obiettivi!$C$7)</formula>
    </cfRule>
  </conditionalFormatting>
  <conditionalFormatting sqref="F5:F56">
    <cfRule type="expression" priority="5" aboveAverage="0" equalAverage="0" bottom="0" percent="0" rank="0" text="" dxfId="9">
      <formula>AND(ISNUMBER(F5),F5&lt;Obiettivi!$C$8)</formula>
    </cfRule>
  </conditionalFormatting>
  <conditionalFormatting sqref="H5:H56">
    <cfRule type="expression" priority="6" aboveAverage="0" equalAverage="0" bottom="0" percent="0" rank="0" text="" dxfId="9">
      <formula>AND(ISNUMBER(H5),H5&gt;Obiettivi!$C$9)</formula>
    </cfRule>
  </conditionalFormatting>
  <conditionalFormatting sqref="J5:J56">
    <cfRule type="expression" priority="7" aboveAverage="0" equalAverage="0" bottom="0" percent="0" rank="0" text="" dxfId="9">
      <formula>AND(ISNUMBER(J5),K5&gt;=60,J5&lt;Obiettivi!$C$10)</formula>
    </cfRule>
  </conditionalFormatting>
  <conditionalFormatting sqref="L5:L56">
    <cfRule type="cellIs" priority="8" operator="equal" aboveAverage="0" equalAverage="0" bottom="0" percent="0" rank="0" text="" dxfId="9">
      <formula>"SEGNALE"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6" min="12" style="0" width="11"/>
    <col collapsed="false" customWidth="true" hidden="false" outlineLevel="0" max="17" min="17" style="0" width="10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false" outlineLevel="0" max="21" min="21" style="0" width="11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126</v>
      </c>
    </row>
    <row r="4" customFormat="false" ht="60" hidden="false" customHeight="true" outlineLevel="0" collapsed="false">
      <c r="A4" s="9" t="s">
        <v>42</v>
      </c>
      <c r="B4" s="9" t="s">
        <v>43</v>
      </c>
      <c r="C4" s="9" t="s">
        <v>127</v>
      </c>
      <c r="D4" s="9" t="s">
        <v>128</v>
      </c>
      <c r="E4" s="9" t="s">
        <v>129</v>
      </c>
      <c r="F4" s="9" t="s">
        <v>46</v>
      </c>
      <c r="G4" s="9" t="s">
        <v>130</v>
      </c>
      <c r="H4" s="9" t="s">
        <v>47</v>
      </c>
      <c r="I4" s="9" t="s">
        <v>131</v>
      </c>
      <c r="J4" s="9" t="s">
        <v>132</v>
      </c>
      <c r="K4" s="9" t="s">
        <v>133</v>
      </c>
      <c r="L4" s="9" t="s">
        <v>134</v>
      </c>
      <c r="M4" s="9" t="s">
        <v>135</v>
      </c>
      <c r="N4" s="9" t="s">
        <v>136</v>
      </c>
      <c r="O4" s="9" t="s">
        <v>137</v>
      </c>
      <c r="P4" s="9" t="s">
        <v>138</v>
      </c>
      <c r="Q4" s="9" t="s">
        <v>139</v>
      </c>
      <c r="R4" s="9" t="s">
        <v>140</v>
      </c>
      <c r="S4" s="9" t="s">
        <v>141</v>
      </c>
      <c r="T4" s="9" t="s">
        <v>142</v>
      </c>
      <c r="U4" s="9" t="s">
        <v>143</v>
      </c>
    </row>
    <row r="5" customFormat="false" ht="15" hidden="false" customHeight="false" outlineLevel="0" collapsed="false">
      <c r="A5" s="4" t="n">
        <v>1</v>
      </c>
      <c r="B5" s="4" t="s">
        <v>48</v>
      </c>
      <c r="C5" s="5"/>
      <c r="D5" s="5"/>
      <c r="E5" s="5"/>
      <c r="F5" s="22"/>
      <c r="G5" s="22"/>
      <c r="H5" s="22"/>
      <c r="I5" s="5"/>
      <c r="J5" s="24" t="str">
        <f aca="false">IF(OR(COUNT(F5)=0,COUNT(E5)=0,E5=0),"",F5/E5)</f>
        <v/>
      </c>
      <c r="K5" s="16" t="str">
        <f aca="false">IF(OR(COUNT(F5)=0,F5=0),"",(F5-G5)/F5)</f>
        <v/>
      </c>
      <c r="L5" s="16" t="str">
        <f aca="false">IF(OR(COUNT(C5)=0,C5=0,COUNT(D5)=0),"",D5/C5)</f>
        <v/>
      </c>
      <c r="M5" s="25" t="str">
        <f aca="false">IF(OR(COUNT(E5)=0,Obiettivi!$D$14=0),"",E5/Obiettivi!$D$14)</f>
        <v/>
      </c>
      <c r="N5" s="25" t="str">
        <f aca="false">IF(OR(COUNT(F5)=0,Obiettivi!$E$14=0),"",F5/Obiettivi!$E$14)</f>
        <v/>
      </c>
      <c r="O5" s="25" t="str">
        <f aca="false">IF(OR(COUNT(H5)=0,Obiettivi!$F$14=0),"",H5/Obiettivi!$F$14)</f>
        <v/>
      </c>
      <c r="P5" s="26"/>
      <c r="Q5" s="5"/>
      <c r="R5" s="5"/>
      <c r="S5" s="26"/>
      <c r="T5" s="5"/>
      <c r="U5" s="5"/>
    </row>
    <row r="6" customFormat="false" ht="15" hidden="false" customHeight="false" outlineLevel="0" collapsed="false">
      <c r="A6" s="4" t="n">
        <v>2</v>
      </c>
      <c r="B6" s="4" t="s">
        <v>49</v>
      </c>
      <c r="C6" s="5"/>
      <c r="D6" s="5"/>
      <c r="E6" s="5"/>
      <c r="F6" s="22"/>
      <c r="G6" s="22"/>
      <c r="H6" s="22"/>
      <c r="I6" s="5"/>
      <c r="J6" s="24" t="str">
        <f aca="false">IF(OR(COUNT(F6)=0,COUNT(E6)=0,E6=0),"",F6/E6)</f>
        <v/>
      </c>
      <c r="K6" s="16" t="str">
        <f aca="false">IF(OR(COUNT(F6)=0,F6=0),"",(F6-G6)/F6)</f>
        <v/>
      </c>
      <c r="L6" s="16" t="str">
        <f aca="false">IF(OR(COUNT(C6)=0,C6=0,COUNT(D6)=0),"",D6/C6)</f>
        <v/>
      </c>
      <c r="M6" s="25" t="str">
        <f aca="false">IF(OR(COUNT(E6)=0,Obiettivi!$D$15=0),"",E6/Obiettivi!$D$15)</f>
        <v/>
      </c>
      <c r="N6" s="25" t="str">
        <f aca="false">IF(OR(COUNT(F6)=0,Obiettivi!$E$15=0),"",F6/Obiettivi!$E$15)</f>
        <v/>
      </c>
      <c r="O6" s="25" t="str">
        <f aca="false">IF(OR(COUNT(H6)=0,Obiettivi!$F$15=0),"",H6/Obiettivi!$F$15)</f>
        <v/>
      </c>
      <c r="P6" s="26"/>
      <c r="Q6" s="5"/>
      <c r="R6" s="5"/>
      <c r="S6" s="26"/>
      <c r="T6" s="5"/>
      <c r="U6" s="5"/>
    </row>
    <row r="7" customFormat="false" ht="15" hidden="false" customHeight="false" outlineLevel="0" collapsed="false">
      <c r="A7" s="4" t="n">
        <v>3</v>
      </c>
      <c r="B7" s="4" t="s">
        <v>50</v>
      </c>
      <c r="C7" s="5"/>
      <c r="D7" s="5"/>
      <c r="E7" s="5"/>
      <c r="F7" s="22"/>
      <c r="G7" s="22"/>
      <c r="H7" s="22"/>
      <c r="I7" s="5"/>
      <c r="J7" s="24" t="str">
        <f aca="false">IF(OR(COUNT(F7)=0,COUNT(E7)=0,E7=0),"",F7/E7)</f>
        <v/>
      </c>
      <c r="K7" s="16" t="str">
        <f aca="false">IF(OR(COUNT(F7)=0,F7=0),"",(F7-G7)/F7)</f>
        <v/>
      </c>
      <c r="L7" s="16" t="str">
        <f aca="false">IF(OR(COUNT(C7)=0,C7=0,COUNT(D7)=0),"",D7/C7)</f>
        <v/>
      </c>
      <c r="M7" s="25" t="str">
        <f aca="false">IF(OR(COUNT(E7)=0,Obiettivi!$D$16=0),"",E7/Obiettivi!$D$16)</f>
        <v/>
      </c>
      <c r="N7" s="25" t="str">
        <f aca="false">IF(OR(COUNT(F7)=0,Obiettivi!$E$16=0),"",F7/Obiettivi!$E$16)</f>
        <v/>
      </c>
      <c r="O7" s="25" t="str">
        <f aca="false">IF(OR(COUNT(H7)=0,Obiettivi!$F$16=0),"",H7/Obiettivi!$F$16)</f>
        <v/>
      </c>
      <c r="P7" s="26"/>
      <c r="Q7" s="5"/>
      <c r="R7" s="5"/>
      <c r="S7" s="26"/>
      <c r="T7" s="5"/>
      <c r="U7" s="5"/>
    </row>
    <row r="8" customFormat="false" ht="15" hidden="false" customHeight="false" outlineLevel="0" collapsed="false">
      <c r="A8" s="4" t="n">
        <v>4</v>
      </c>
      <c r="B8" s="4" t="s">
        <v>51</v>
      </c>
      <c r="C8" s="5"/>
      <c r="D8" s="5"/>
      <c r="E8" s="5"/>
      <c r="F8" s="22"/>
      <c r="G8" s="22"/>
      <c r="H8" s="22"/>
      <c r="I8" s="5"/>
      <c r="J8" s="24" t="str">
        <f aca="false">IF(OR(COUNT(F8)=0,COUNT(E8)=0,E8=0),"",F8/E8)</f>
        <v/>
      </c>
      <c r="K8" s="16" t="str">
        <f aca="false">IF(OR(COUNT(F8)=0,F8=0),"",(F8-G8)/F8)</f>
        <v/>
      </c>
      <c r="L8" s="16" t="str">
        <f aca="false">IF(OR(COUNT(C8)=0,C8=0,COUNT(D8)=0),"",D8/C8)</f>
        <v/>
      </c>
      <c r="M8" s="25" t="str">
        <f aca="false">IF(OR(COUNT(E8)=0,Obiettivi!$D$17=0),"",E8/Obiettivi!$D$17)</f>
        <v/>
      </c>
      <c r="N8" s="25" t="str">
        <f aca="false">IF(OR(COUNT(F8)=0,Obiettivi!$E$17=0),"",F8/Obiettivi!$E$17)</f>
        <v/>
      </c>
      <c r="O8" s="25" t="str">
        <f aca="false">IF(OR(COUNT(H8)=0,Obiettivi!$F$17=0),"",H8/Obiettivi!$F$17)</f>
        <v/>
      </c>
      <c r="P8" s="26"/>
      <c r="Q8" s="5"/>
      <c r="R8" s="5"/>
      <c r="S8" s="26"/>
      <c r="T8" s="5"/>
      <c r="U8" s="5"/>
    </row>
    <row r="9" customFormat="false" ht="15" hidden="false" customHeight="false" outlineLevel="0" collapsed="false">
      <c r="A9" s="4" t="n">
        <v>5</v>
      </c>
      <c r="B9" s="4" t="s">
        <v>52</v>
      </c>
      <c r="C9" s="5"/>
      <c r="D9" s="5"/>
      <c r="E9" s="5"/>
      <c r="F9" s="22"/>
      <c r="G9" s="22"/>
      <c r="H9" s="22"/>
      <c r="I9" s="5"/>
      <c r="J9" s="24" t="str">
        <f aca="false">IF(OR(COUNT(F9)=0,COUNT(E9)=0,E9=0),"",F9/E9)</f>
        <v/>
      </c>
      <c r="K9" s="16" t="str">
        <f aca="false">IF(OR(COUNT(F9)=0,F9=0),"",(F9-G9)/F9)</f>
        <v/>
      </c>
      <c r="L9" s="16" t="str">
        <f aca="false">IF(OR(COUNT(C9)=0,C9=0,COUNT(D9)=0),"",D9/C9)</f>
        <v/>
      </c>
      <c r="M9" s="25" t="str">
        <f aca="false">IF(OR(COUNT(E9)=0,Obiettivi!$D$18=0),"",E9/Obiettivi!$D$18)</f>
        <v/>
      </c>
      <c r="N9" s="25" t="str">
        <f aca="false">IF(OR(COUNT(F9)=0,Obiettivi!$E$18=0),"",F9/Obiettivi!$E$18)</f>
        <v/>
      </c>
      <c r="O9" s="25" t="str">
        <f aca="false">IF(OR(COUNT(H9)=0,Obiettivi!$F$18=0),"",H9/Obiettivi!$F$18)</f>
        <v/>
      </c>
      <c r="P9" s="26"/>
      <c r="Q9" s="5"/>
      <c r="R9" s="5"/>
      <c r="S9" s="26"/>
      <c r="T9" s="5"/>
      <c r="U9" s="5"/>
    </row>
    <row r="10" customFormat="false" ht="15" hidden="false" customHeight="false" outlineLevel="0" collapsed="false">
      <c r="A10" s="4" t="n">
        <v>6</v>
      </c>
      <c r="B10" s="4" t="s">
        <v>53</v>
      </c>
      <c r="C10" s="5"/>
      <c r="D10" s="5"/>
      <c r="E10" s="5"/>
      <c r="F10" s="22"/>
      <c r="G10" s="22"/>
      <c r="H10" s="22"/>
      <c r="I10" s="5"/>
      <c r="J10" s="24" t="str">
        <f aca="false">IF(OR(COUNT(F10)=0,COUNT(E10)=0,E10=0),"",F10/E10)</f>
        <v/>
      </c>
      <c r="K10" s="16" t="str">
        <f aca="false">IF(OR(COUNT(F10)=0,F10=0),"",(F10-G10)/F10)</f>
        <v/>
      </c>
      <c r="L10" s="16" t="str">
        <f aca="false">IF(OR(COUNT(C10)=0,C10=0,COUNT(D10)=0),"",D10/C10)</f>
        <v/>
      </c>
      <c r="M10" s="25" t="str">
        <f aca="false">IF(OR(COUNT(E10)=0,Obiettivi!$D$19=0),"",E10/Obiettivi!$D$19)</f>
        <v/>
      </c>
      <c r="N10" s="25" t="str">
        <f aca="false">IF(OR(COUNT(F10)=0,Obiettivi!$E$19=0),"",F10/Obiettivi!$E$19)</f>
        <v/>
      </c>
      <c r="O10" s="25" t="str">
        <f aca="false">IF(OR(COUNT(H10)=0,Obiettivi!$F$19=0),"",H10/Obiettivi!$F$19)</f>
        <v/>
      </c>
      <c r="P10" s="26"/>
      <c r="Q10" s="5"/>
      <c r="R10" s="5"/>
      <c r="S10" s="26"/>
      <c r="T10" s="5"/>
      <c r="U10" s="5"/>
    </row>
    <row r="11" customFormat="false" ht="15" hidden="false" customHeight="false" outlineLevel="0" collapsed="false">
      <c r="A11" s="4" t="n">
        <v>7</v>
      </c>
      <c r="B11" s="4" t="s">
        <v>54</v>
      </c>
      <c r="C11" s="5"/>
      <c r="D11" s="5"/>
      <c r="E11" s="5"/>
      <c r="F11" s="22"/>
      <c r="G11" s="22"/>
      <c r="H11" s="22"/>
      <c r="I11" s="5"/>
      <c r="J11" s="24" t="str">
        <f aca="false">IF(OR(COUNT(F11)=0,COUNT(E11)=0,E11=0),"",F11/E11)</f>
        <v/>
      </c>
      <c r="K11" s="16" t="str">
        <f aca="false">IF(OR(COUNT(F11)=0,F11=0),"",(F11-G11)/F11)</f>
        <v/>
      </c>
      <c r="L11" s="16" t="str">
        <f aca="false">IF(OR(COUNT(C11)=0,C11=0,COUNT(D11)=0),"",D11/C11)</f>
        <v/>
      </c>
      <c r="M11" s="25" t="str">
        <f aca="false">IF(OR(COUNT(E11)=0,Obiettivi!$D$20=0),"",E11/Obiettivi!$D$20)</f>
        <v/>
      </c>
      <c r="N11" s="25" t="str">
        <f aca="false">IF(OR(COUNT(F11)=0,Obiettivi!$E$20=0),"",F11/Obiettivi!$E$20)</f>
        <v/>
      </c>
      <c r="O11" s="25" t="str">
        <f aca="false">IF(OR(COUNT(H11)=0,Obiettivi!$F$20=0),"",H11/Obiettivi!$F$20)</f>
        <v/>
      </c>
      <c r="P11" s="26"/>
      <c r="Q11" s="5"/>
      <c r="R11" s="5"/>
      <c r="S11" s="26"/>
      <c r="T11" s="5"/>
      <c r="U11" s="5"/>
    </row>
    <row r="12" customFormat="false" ht="15" hidden="false" customHeight="false" outlineLevel="0" collapsed="false">
      <c r="A12" s="4" t="n">
        <v>8</v>
      </c>
      <c r="B12" s="4" t="s">
        <v>55</v>
      </c>
      <c r="C12" s="5"/>
      <c r="D12" s="5"/>
      <c r="E12" s="5"/>
      <c r="F12" s="22"/>
      <c r="G12" s="22"/>
      <c r="H12" s="22"/>
      <c r="I12" s="5"/>
      <c r="J12" s="24" t="str">
        <f aca="false">IF(OR(COUNT(F12)=0,COUNT(E12)=0,E12=0),"",F12/E12)</f>
        <v/>
      </c>
      <c r="K12" s="16" t="str">
        <f aca="false">IF(OR(COUNT(F12)=0,F12=0),"",(F12-G12)/F12)</f>
        <v/>
      </c>
      <c r="L12" s="16" t="str">
        <f aca="false">IF(OR(COUNT(C12)=0,C12=0,COUNT(D12)=0),"",D12/C12)</f>
        <v/>
      </c>
      <c r="M12" s="25" t="str">
        <f aca="false">IF(OR(COUNT(E12)=0,Obiettivi!$D$21=0),"",E12/Obiettivi!$D$21)</f>
        <v/>
      </c>
      <c r="N12" s="25" t="str">
        <f aca="false">IF(OR(COUNT(F12)=0,Obiettivi!$E$21=0),"",F12/Obiettivi!$E$21)</f>
        <v/>
      </c>
      <c r="O12" s="25" t="str">
        <f aca="false">IF(OR(COUNT(H12)=0,Obiettivi!$F$21=0),"",H12/Obiettivi!$F$21)</f>
        <v/>
      </c>
      <c r="P12" s="26"/>
      <c r="Q12" s="5"/>
      <c r="R12" s="5"/>
      <c r="S12" s="26"/>
      <c r="T12" s="5"/>
      <c r="U12" s="5"/>
    </row>
    <row r="13" customFormat="false" ht="15" hidden="false" customHeight="false" outlineLevel="0" collapsed="false">
      <c r="A13" s="4" t="n">
        <v>9</v>
      </c>
      <c r="B13" s="4" t="s">
        <v>56</v>
      </c>
      <c r="C13" s="5"/>
      <c r="D13" s="5"/>
      <c r="E13" s="5"/>
      <c r="F13" s="22"/>
      <c r="G13" s="22"/>
      <c r="H13" s="22"/>
      <c r="I13" s="5"/>
      <c r="J13" s="24" t="str">
        <f aca="false">IF(OR(COUNT(F13)=0,COUNT(E13)=0,E13=0),"",F13/E13)</f>
        <v/>
      </c>
      <c r="K13" s="16" t="str">
        <f aca="false">IF(OR(COUNT(F13)=0,F13=0),"",(F13-G13)/F13)</f>
        <v/>
      </c>
      <c r="L13" s="16" t="str">
        <f aca="false">IF(OR(COUNT(C13)=0,C13=0,COUNT(D13)=0),"",D13/C13)</f>
        <v/>
      </c>
      <c r="M13" s="25" t="str">
        <f aca="false">IF(OR(COUNT(E13)=0,Obiettivi!$D$22=0),"",E13/Obiettivi!$D$22)</f>
        <v/>
      </c>
      <c r="N13" s="25" t="str">
        <f aca="false">IF(OR(COUNT(F13)=0,Obiettivi!$E$22=0),"",F13/Obiettivi!$E$22)</f>
        <v/>
      </c>
      <c r="O13" s="25" t="str">
        <f aca="false">IF(OR(COUNT(H13)=0,Obiettivi!$F$22=0),"",H13/Obiettivi!$F$22)</f>
        <v/>
      </c>
      <c r="P13" s="26"/>
      <c r="Q13" s="5"/>
      <c r="R13" s="5"/>
      <c r="S13" s="26"/>
      <c r="T13" s="5"/>
      <c r="U13" s="5"/>
    </row>
    <row r="14" customFormat="false" ht="15" hidden="false" customHeight="false" outlineLevel="0" collapsed="false">
      <c r="A14" s="4" t="n">
        <v>10</v>
      </c>
      <c r="B14" s="4" t="s">
        <v>57</v>
      </c>
      <c r="C14" s="5"/>
      <c r="D14" s="5"/>
      <c r="E14" s="5"/>
      <c r="F14" s="22"/>
      <c r="G14" s="22"/>
      <c r="H14" s="22"/>
      <c r="I14" s="5"/>
      <c r="J14" s="24" t="str">
        <f aca="false">IF(OR(COUNT(F14)=0,COUNT(E14)=0,E14=0),"",F14/E14)</f>
        <v/>
      </c>
      <c r="K14" s="16" t="str">
        <f aca="false">IF(OR(COUNT(F14)=0,F14=0),"",(F14-G14)/F14)</f>
        <v/>
      </c>
      <c r="L14" s="16" t="str">
        <f aca="false">IF(OR(COUNT(C14)=0,C14=0,COUNT(D14)=0),"",D14/C14)</f>
        <v/>
      </c>
      <c r="M14" s="25" t="str">
        <f aca="false">IF(OR(COUNT(E14)=0,Obiettivi!$D$23=0),"",E14/Obiettivi!$D$23)</f>
        <v/>
      </c>
      <c r="N14" s="25" t="str">
        <f aca="false">IF(OR(COUNT(F14)=0,Obiettivi!$E$23=0),"",F14/Obiettivi!$E$23)</f>
        <v/>
      </c>
      <c r="O14" s="25" t="str">
        <f aca="false">IF(OR(COUNT(H14)=0,Obiettivi!$F$23=0),"",H14/Obiettivi!$F$23)</f>
        <v/>
      </c>
      <c r="P14" s="26"/>
      <c r="Q14" s="5"/>
      <c r="R14" s="5"/>
      <c r="S14" s="26"/>
      <c r="T14" s="5"/>
      <c r="U14" s="5"/>
    </row>
    <row r="15" customFormat="false" ht="15" hidden="false" customHeight="false" outlineLevel="0" collapsed="false">
      <c r="A15" s="4" t="n">
        <v>11</v>
      </c>
      <c r="B15" s="4" t="s">
        <v>58</v>
      </c>
      <c r="C15" s="5"/>
      <c r="D15" s="5"/>
      <c r="E15" s="5"/>
      <c r="F15" s="22"/>
      <c r="G15" s="22"/>
      <c r="H15" s="22"/>
      <c r="I15" s="5"/>
      <c r="J15" s="24" t="str">
        <f aca="false">IF(OR(COUNT(F15)=0,COUNT(E15)=0,E15=0),"",F15/E15)</f>
        <v/>
      </c>
      <c r="K15" s="16" t="str">
        <f aca="false">IF(OR(COUNT(F15)=0,F15=0),"",(F15-G15)/F15)</f>
        <v/>
      </c>
      <c r="L15" s="16" t="str">
        <f aca="false">IF(OR(COUNT(C15)=0,C15=0,COUNT(D15)=0),"",D15/C15)</f>
        <v/>
      </c>
      <c r="M15" s="25" t="str">
        <f aca="false">IF(OR(COUNT(E15)=0,Obiettivi!$D$24=0),"",E15/Obiettivi!$D$24)</f>
        <v/>
      </c>
      <c r="N15" s="25" t="str">
        <f aca="false">IF(OR(COUNT(F15)=0,Obiettivi!$E$24=0),"",F15/Obiettivi!$E$24)</f>
        <v/>
      </c>
      <c r="O15" s="25" t="str">
        <f aca="false">IF(OR(COUNT(H15)=0,Obiettivi!$F$24=0),"",H15/Obiettivi!$F$24)</f>
        <v/>
      </c>
      <c r="P15" s="26"/>
      <c r="Q15" s="5"/>
      <c r="R15" s="5"/>
      <c r="S15" s="26"/>
      <c r="T15" s="5"/>
      <c r="U15" s="5"/>
    </row>
    <row r="16" customFormat="false" ht="15" hidden="false" customHeight="false" outlineLevel="0" collapsed="false">
      <c r="A16" s="4" t="n">
        <v>12</v>
      </c>
      <c r="B16" s="4" t="s">
        <v>59</v>
      </c>
      <c r="C16" s="5"/>
      <c r="D16" s="5"/>
      <c r="E16" s="5"/>
      <c r="F16" s="22"/>
      <c r="G16" s="22"/>
      <c r="H16" s="22"/>
      <c r="I16" s="5"/>
      <c r="J16" s="24" t="str">
        <f aca="false">IF(OR(COUNT(F16)=0,COUNT(E16)=0,E16=0),"",F16/E16)</f>
        <v/>
      </c>
      <c r="K16" s="16" t="str">
        <f aca="false">IF(OR(COUNT(F16)=0,F16=0),"",(F16-G16)/F16)</f>
        <v/>
      </c>
      <c r="L16" s="16" t="str">
        <f aca="false">IF(OR(COUNT(C16)=0,C16=0,COUNT(D16)=0),"",D16/C16)</f>
        <v/>
      </c>
      <c r="M16" s="25" t="str">
        <f aca="false">IF(OR(COUNT(E16)=0,Obiettivi!$D$25=0),"",E16/Obiettivi!$D$25)</f>
        <v/>
      </c>
      <c r="N16" s="25" t="str">
        <f aca="false">IF(OR(COUNT(F16)=0,Obiettivi!$E$25=0),"",F16/Obiettivi!$E$25)</f>
        <v/>
      </c>
      <c r="O16" s="25" t="str">
        <f aca="false">IF(OR(COUNT(H16)=0,Obiettivi!$F$25=0),"",H16/Obiettivi!$F$25)</f>
        <v/>
      </c>
      <c r="P16" s="26"/>
      <c r="Q16" s="5"/>
      <c r="R16" s="5"/>
      <c r="S16" s="26"/>
      <c r="T16" s="5"/>
      <c r="U16" s="5"/>
    </row>
    <row r="18" customFormat="false" ht="15" hidden="false" customHeight="false" outlineLevel="0" collapsed="false">
      <c r="A18" s="2" t="s">
        <v>144</v>
      </c>
    </row>
  </sheetData>
  <conditionalFormatting sqref="J5:J16">
    <cfRule type="expression" priority="2" aboveAverage="0" equalAverage="0" bottom="0" percent="0" rank="0" text="" dxfId="9">
      <formula>AND(ISNUMBER(J5),J5&lt;85)</formula>
    </cfRule>
  </conditionalFormatting>
  <conditionalFormatting sqref="K5:K16">
    <cfRule type="expression" priority="3" aboveAverage="0" equalAverage="0" bottom="0" percent="0" rank="0" text="" dxfId="9">
      <formula>AND(ISNUMBER(K5),K5&lt;0.65)</formula>
    </cfRule>
  </conditionalFormatting>
  <conditionalFormatting sqref="L5:L16">
    <cfRule type="expression" priority="4" aboveAverage="0" equalAverage="0" bottom="0" percent="0" rank="0" text="" dxfId="9">
      <formula>AND(ISNUMBER(L5),L5&gt;0.05)</formula>
    </cfRule>
  </conditionalFormatting>
  <conditionalFormatting sqref="M5:M16">
    <cfRule type="expression" priority="5" aboveAverage="0" equalAverage="0" bottom="0" percent="0" rank="0" text="" dxfId="9">
      <formula>AND(ISNUMBER(M5),M5&lt;0.7)</formula>
    </cfRule>
  </conditionalFormatting>
  <conditionalFormatting sqref="N5:N16">
    <cfRule type="expression" priority="6" aboveAverage="0" equalAverage="0" bottom="0" percent="0" rank="0" text="" dxfId="9">
      <formula>AND(ISNUMBER(N5),N5&lt;0.7)</formula>
    </cfRule>
  </conditionalFormatting>
  <conditionalFormatting sqref="O5:O16">
    <cfRule type="expression" priority="7" aboveAverage="0" equalAverage="0" bottom="0" percent="0" rank="0" text="" dxfId="9">
      <formula>AND(ISNUMBER(O5),O5&lt;0.6)</formula>
    </cfRule>
  </conditionalFormatting>
  <conditionalFormatting sqref="I5:I16">
    <cfRule type="expression" priority="8" aboveAverage="0" equalAverage="0" bottom="0" percent="0" rank="0" text="" dxfId="9">
      <formula>AND(ISNUMBER(I5),I5&gt;1)</formula>
    </cfRule>
  </conditionalFormatting>
  <conditionalFormatting sqref="P5:P16">
    <cfRule type="expression" priority="9" aboveAverage="0" equalAverage="0" bottom="0" percent="0" rank="0" text="" dxfId="9">
      <formula>AND(ISNUMBER(P5),P5&lt;0.6)</formula>
    </cfRule>
  </conditionalFormatting>
  <conditionalFormatting sqref="Q5:Q16">
    <cfRule type="expression" priority="10" aboveAverage="0" equalAverage="0" bottom="0" percent="0" rank="0" text="" dxfId="9">
      <formula>AND(ISNUMBER(Q5),Q5&gt;15)</formula>
    </cfRule>
  </conditionalFormatting>
  <conditionalFormatting sqref="R5:R16">
    <cfRule type="expression" priority="11" aboveAverage="0" equalAverage="0" bottom="0" percent="0" rank="0" text="" dxfId="9">
      <formula>AND(ISNUMBER(R5),R5&gt;72)</formula>
    </cfRule>
  </conditionalFormatting>
  <conditionalFormatting sqref="S5:S16">
    <cfRule type="expression" priority="12" aboveAverage="0" equalAverage="0" bottom="0" percent="0" rank="0" text="" dxfId="9">
      <formula>AND(ISNUMBER(S5),S5&gt;1.1)</formula>
    </cfRule>
  </conditionalFormatting>
  <conditionalFormatting sqref="T5:T16">
    <cfRule type="expression" priority="13" aboveAverage="0" equalAverage="0" bottom="0" percent="0" rank="0" text="" dxfId="9">
      <formula>AND(ISNUMBER(T5),T5&gt;8)</formula>
    </cfRule>
  </conditionalFormatting>
  <conditionalFormatting sqref="U5:U16">
    <cfRule type="expression" priority="14" aboveAverage="0" equalAverage="0" bottom="0" percent="0" rank="0" text="" dxfId="9">
      <formula>AND(ISNUMBER(U5),U5&lt;7)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11" min="8" style="0" width="13"/>
    <col collapsed="false" customWidth="true" hidden="false" outlineLevel="0" max="12" min="12" style="0" width="34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1.5" hidden="false" customHeight="true" outlineLevel="0" collapsed="false">
      <c r="A4" s="9" t="s">
        <v>78</v>
      </c>
      <c r="B4" s="9" t="s">
        <v>63</v>
      </c>
      <c r="C4" s="9" t="s">
        <v>147</v>
      </c>
      <c r="D4" s="9" t="s">
        <v>148</v>
      </c>
      <c r="E4" s="9" t="s">
        <v>67</v>
      </c>
      <c r="F4" s="9" t="s">
        <v>149</v>
      </c>
      <c r="G4" s="9" t="s">
        <v>150</v>
      </c>
      <c r="H4" s="9" t="s">
        <v>151</v>
      </c>
      <c r="I4" s="9" t="s">
        <v>152</v>
      </c>
      <c r="J4" s="9" t="s">
        <v>153</v>
      </c>
      <c r="K4" s="9" t="s">
        <v>154</v>
      </c>
      <c r="L4" s="9" t="s">
        <v>99</v>
      </c>
      <c r="M4" s="9" t="s">
        <v>104</v>
      </c>
    </row>
    <row r="5" customFormat="false" ht="15" hidden="false" customHeight="false" outlineLevel="0" collapsed="false">
      <c r="A5" s="5" t="s">
        <v>106</v>
      </c>
      <c r="B5" s="5" t="s">
        <v>71</v>
      </c>
      <c r="C5" s="19" t="n">
        <v>46367</v>
      </c>
      <c r="D5" s="20" t="n">
        <f aca="false">IF(B5="","",IFERROR(INDEX(Listino!$C$5:$C$7,MATCH(B5,Listino!$A$5:$A$7,0)),""))</f>
        <v>129</v>
      </c>
      <c r="E5" s="27" t="n">
        <f aca="false">IF(B5="","",IFERROR(INDEX(Listino!$E$5:$E$7,MATCH(B5,Listino!$A$5:$A$7,0)),""))</f>
        <v>250</v>
      </c>
      <c r="F5" s="5" t="n">
        <v>180</v>
      </c>
      <c r="G5" s="25" t="n">
        <f aca="false">IF(OR(COUNT(F5)=0,COUNT(E5)=0),"",IF(E5=0,"",F5/E5))</f>
        <v>0.72</v>
      </c>
      <c r="H5" s="5" t="n">
        <v>0</v>
      </c>
      <c r="I5" s="19" t="n">
        <v>46374</v>
      </c>
      <c r="J5" s="4" t="str">
        <f aca="true">IF(AND(ISNUMBER(I5),I5&lt;=TODAY()),TODAY()-I5,"")</f>
        <v/>
      </c>
      <c r="K5" s="5" t="s">
        <v>155</v>
      </c>
      <c r="L5" s="5" t="s">
        <v>156</v>
      </c>
      <c r="M5" s="5" t="s">
        <v>157</v>
      </c>
    </row>
    <row r="6" customFormat="false" ht="15" hidden="false" customHeight="false" outlineLevel="0" collapsed="false">
      <c r="A6" s="5"/>
      <c r="B6" s="5"/>
      <c r="C6" s="19"/>
      <c r="D6" s="20" t="str">
        <f aca="false">IF(B6="","",IFERROR(INDEX(Listino!$C$5:$C$7,MATCH(B6,Listino!$A$5:$A$7,0)),""))</f>
        <v/>
      </c>
      <c r="E6" s="7" t="str">
        <f aca="false">IF(B6="","",IFERROR(INDEX(Listino!$E$5:$E$7,MATCH(B6,Listino!$A$5:$A$7,0)),""))</f>
        <v/>
      </c>
      <c r="F6" s="5"/>
      <c r="G6" s="25" t="str">
        <f aca="false">IF(OR(COUNT(F6)=0,COUNT(E6)=0),"",IF(E6=0,"",F6/E6))</f>
        <v/>
      </c>
      <c r="H6" s="5"/>
      <c r="I6" s="19"/>
      <c r="J6" s="4" t="str">
        <f aca="true">IF(AND(ISNUMBER(I6),I6&lt;=TODAY()),TODAY()-I6,"")</f>
        <v/>
      </c>
      <c r="K6" s="5"/>
      <c r="L6" s="5"/>
      <c r="M6" s="5"/>
    </row>
    <row r="7" customFormat="false" ht="15" hidden="false" customHeight="false" outlineLevel="0" collapsed="false">
      <c r="A7" s="5"/>
      <c r="B7" s="5"/>
      <c r="C7" s="19"/>
      <c r="D7" s="20" t="str">
        <f aca="false">IF(B7="","",IFERROR(INDEX(Listino!$C$5:$C$7,MATCH(B7,Listino!$A$5:$A$7,0)),""))</f>
        <v/>
      </c>
      <c r="E7" s="7" t="str">
        <f aca="false">IF(B7="","",IFERROR(INDEX(Listino!$E$5:$E$7,MATCH(B7,Listino!$A$5:$A$7,0)),""))</f>
        <v/>
      </c>
      <c r="F7" s="5"/>
      <c r="G7" s="25" t="str">
        <f aca="false">IF(OR(COUNT(F7)=0,COUNT(E7)=0),"",IF(E7=0,"",F7/E7))</f>
        <v/>
      </c>
      <c r="H7" s="5"/>
      <c r="I7" s="19"/>
      <c r="J7" s="4" t="str">
        <f aca="true">IF(AND(ISNUMBER(I7),I7&lt;=TODAY()),TODAY()-I7,"")</f>
        <v/>
      </c>
      <c r="K7" s="5"/>
      <c r="L7" s="5"/>
      <c r="M7" s="5"/>
    </row>
    <row r="8" customFormat="false" ht="15" hidden="false" customHeight="false" outlineLevel="0" collapsed="false">
      <c r="A8" s="5"/>
      <c r="B8" s="5"/>
      <c r="C8" s="19"/>
      <c r="D8" s="20" t="str">
        <f aca="false">IF(B8="","",IFERROR(INDEX(Listino!$C$5:$C$7,MATCH(B8,Listino!$A$5:$A$7,0)),""))</f>
        <v/>
      </c>
      <c r="E8" s="7" t="str">
        <f aca="false">IF(B8="","",IFERROR(INDEX(Listino!$E$5:$E$7,MATCH(B8,Listino!$A$5:$A$7,0)),""))</f>
        <v/>
      </c>
      <c r="F8" s="5"/>
      <c r="G8" s="25" t="str">
        <f aca="false">IF(OR(COUNT(F8)=0,COUNT(E8)=0),"",IF(E8=0,"",F8/E8))</f>
        <v/>
      </c>
      <c r="H8" s="5"/>
      <c r="I8" s="19"/>
      <c r="J8" s="4" t="str">
        <f aca="true">IF(AND(ISNUMBER(I8),I8&lt;=TODAY()),TODAY()-I8,"")</f>
        <v/>
      </c>
      <c r="K8" s="5"/>
      <c r="L8" s="5"/>
      <c r="M8" s="5"/>
    </row>
    <row r="9" customFormat="false" ht="15" hidden="false" customHeight="false" outlineLevel="0" collapsed="false">
      <c r="A9" s="5"/>
      <c r="B9" s="5"/>
      <c r="C9" s="19"/>
      <c r="D9" s="20" t="str">
        <f aca="false">IF(B9="","",IFERROR(INDEX(Listino!$C$5:$C$7,MATCH(B9,Listino!$A$5:$A$7,0)),""))</f>
        <v/>
      </c>
      <c r="E9" s="7" t="str">
        <f aca="false">IF(B9="","",IFERROR(INDEX(Listino!$E$5:$E$7,MATCH(B9,Listino!$A$5:$A$7,0)),""))</f>
        <v/>
      </c>
      <c r="F9" s="5"/>
      <c r="G9" s="25" t="str">
        <f aca="false">IF(OR(COUNT(F9)=0,COUNT(E9)=0),"",IF(E9=0,"",F9/E9))</f>
        <v/>
      </c>
      <c r="H9" s="5"/>
      <c r="I9" s="19"/>
      <c r="J9" s="4" t="str">
        <f aca="true">IF(AND(ISNUMBER(I9),I9&lt;=TODAY()),TODAY()-I9,"")</f>
        <v/>
      </c>
      <c r="K9" s="5"/>
      <c r="L9" s="5"/>
      <c r="M9" s="5"/>
    </row>
    <row r="10" customFormat="false" ht="15" hidden="false" customHeight="false" outlineLevel="0" collapsed="false">
      <c r="A10" s="5"/>
      <c r="B10" s="5"/>
      <c r="C10" s="19"/>
      <c r="D10" s="20" t="str">
        <f aca="false">IF(B10="","",IFERROR(INDEX(Listino!$C$5:$C$7,MATCH(B10,Listino!$A$5:$A$7,0)),""))</f>
        <v/>
      </c>
      <c r="E10" s="7" t="str">
        <f aca="false">IF(B10="","",IFERROR(INDEX(Listino!$E$5:$E$7,MATCH(B10,Listino!$A$5:$A$7,0)),""))</f>
        <v/>
      </c>
      <c r="F10" s="5"/>
      <c r="G10" s="25" t="str">
        <f aca="false">IF(OR(COUNT(F10)=0,COUNT(E10)=0),"",IF(E10=0,"",F10/E10))</f>
        <v/>
      </c>
      <c r="H10" s="5"/>
      <c r="I10" s="19"/>
      <c r="J10" s="4" t="str">
        <f aca="true">IF(AND(ISNUMBER(I10),I10&lt;=TODAY()),TODAY()-I10,"")</f>
        <v/>
      </c>
      <c r="K10" s="5"/>
      <c r="L10" s="5"/>
      <c r="M10" s="5"/>
    </row>
    <row r="11" customFormat="false" ht="15" hidden="false" customHeight="false" outlineLevel="0" collapsed="false">
      <c r="A11" s="5"/>
      <c r="B11" s="5"/>
      <c r="C11" s="19"/>
      <c r="D11" s="20" t="str">
        <f aca="false">IF(B11="","",IFERROR(INDEX(Listino!$C$5:$C$7,MATCH(B11,Listino!$A$5:$A$7,0)),""))</f>
        <v/>
      </c>
      <c r="E11" s="7" t="str">
        <f aca="false">IF(B11="","",IFERROR(INDEX(Listino!$E$5:$E$7,MATCH(B11,Listino!$A$5:$A$7,0)),""))</f>
        <v/>
      </c>
      <c r="F11" s="5"/>
      <c r="G11" s="25" t="str">
        <f aca="false">IF(OR(COUNT(F11)=0,COUNT(E11)=0),"",IF(E11=0,"",F11/E11))</f>
        <v/>
      </c>
      <c r="H11" s="5"/>
      <c r="I11" s="19"/>
      <c r="J11" s="4" t="str">
        <f aca="true">IF(AND(ISNUMBER(I11),I11&lt;=TODAY()),TODAY()-I11,"")</f>
        <v/>
      </c>
      <c r="K11" s="5"/>
      <c r="L11" s="5"/>
      <c r="M11" s="5"/>
    </row>
    <row r="12" customFormat="false" ht="15" hidden="false" customHeight="false" outlineLevel="0" collapsed="false">
      <c r="A12" s="5"/>
      <c r="B12" s="5"/>
      <c r="C12" s="19"/>
      <c r="D12" s="20" t="str">
        <f aca="false">IF(B12="","",IFERROR(INDEX(Listino!$C$5:$C$7,MATCH(B12,Listino!$A$5:$A$7,0)),""))</f>
        <v/>
      </c>
      <c r="E12" s="7" t="str">
        <f aca="false">IF(B12="","",IFERROR(INDEX(Listino!$E$5:$E$7,MATCH(B12,Listino!$A$5:$A$7,0)),""))</f>
        <v/>
      </c>
      <c r="F12" s="5"/>
      <c r="G12" s="25" t="str">
        <f aca="false">IF(OR(COUNT(F12)=0,COUNT(E12)=0),"",IF(E12=0,"",F12/E12))</f>
        <v/>
      </c>
      <c r="H12" s="5"/>
      <c r="I12" s="19"/>
      <c r="J12" s="4" t="str">
        <f aca="true">IF(AND(ISNUMBER(I12),I12&lt;=TODAY()),TODAY()-I12,"")</f>
        <v/>
      </c>
      <c r="K12" s="5"/>
      <c r="L12" s="5"/>
      <c r="M12" s="5"/>
    </row>
    <row r="13" customFormat="false" ht="15" hidden="false" customHeight="false" outlineLevel="0" collapsed="false">
      <c r="A13" s="5"/>
      <c r="B13" s="5"/>
      <c r="C13" s="19"/>
      <c r="D13" s="20" t="str">
        <f aca="false">IF(B13="","",IFERROR(INDEX(Listino!$C$5:$C$7,MATCH(B13,Listino!$A$5:$A$7,0)),""))</f>
        <v/>
      </c>
      <c r="E13" s="7" t="str">
        <f aca="false">IF(B13="","",IFERROR(INDEX(Listino!$E$5:$E$7,MATCH(B13,Listino!$A$5:$A$7,0)),""))</f>
        <v/>
      </c>
      <c r="F13" s="5"/>
      <c r="G13" s="25" t="str">
        <f aca="false">IF(OR(COUNT(F13)=0,COUNT(E13)=0),"",IF(E13=0,"",F13/E13))</f>
        <v/>
      </c>
      <c r="H13" s="5"/>
      <c r="I13" s="19"/>
      <c r="J13" s="4" t="str">
        <f aca="true">IF(AND(ISNUMBER(I13),I13&lt;=TODAY()),TODAY()-I13,"")</f>
        <v/>
      </c>
      <c r="K13" s="5"/>
      <c r="L13" s="5"/>
      <c r="M13" s="5"/>
    </row>
    <row r="14" customFormat="false" ht="15" hidden="false" customHeight="false" outlineLevel="0" collapsed="false">
      <c r="A14" s="5"/>
      <c r="B14" s="5"/>
      <c r="C14" s="19"/>
      <c r="D14" s="20" t="str">
        <f aca="false">IF(B14="","",IFERROR(INDEX(Listino!$C$5:$C$7,MATCH(B14,Listino!$A$5:$A$7,0)),""))</f>
        <v/>
      </c>
      <c r="E14" s="7" t="str">
        <f aca="false">IF(B14="","",IFERROR(INDEX(Listino!$E$5:$E$7,MATCH(B14,Listino!$A$5:$A$7,0)),""))</f>
        <v/>
      </c>
      <c r="F14" s="5"/>
      <c r="G14" s="25" t="str">
        <f aca="false">IF(OR(COUNT(F14)=0,COUNT(E14)=0),"",IF(E14=0,"",F14/E14))</f>
        <v/>
      </c>
      <c r="H14" s="5"/>
      <c r="I14" s="19"/>
      <c r="J14" s="4" t="str">
        <f aca="true">IF(AND(ISNUMBER(I14),I14&lt;=TODAY()),TODAY()-I14,"")</f>
        <v/>
      </c>
      <c r="K14" s="5"/>
      <c r="L14" s="5"/>
      <c r="M14" s="5"/>
    </row>
    <row r="15" customFormat="false" ht="15" hidden="false" customHeight="false" outlineLevel="0" collapsed="false">
      <c r="A15" s="5"/>
      <c r="B15" s="5"/>
      <c r="C15" s="19"/>
      <c r="D15" s="20" t="str">
        <f aca="false">IF(B15="","",IFERROR(INDEX(Listino!$C$5:$C$7,MATCH(B15,Listino!$A$5:$A$7,0)),""))</f>
        <v/>
      </c>
      <c r="E15" s="7" t="str">
        <f aca="false">IF(B15="","",IFERROR(INDEX(Listino!$E$5:$E$7,MATCH(B15,Listino!$A$5:$A$7,0)),""))</f>
        <v/>
      </c>
      <c r="F15" s="5"/>
      <c r="G15" s="25" t="str">
        <f aca="false">IF(OR(COUNT(F15)=0,COUNT(E15)=0),"",IF(E15=0,"",F15/E15))</f>
        <v/>
      </c>
      <c r="H15" s="5"/>
      <c r="I15" s="19"/>
      <c r="J15" s="4" t="str">
        <f aca="true">IF(AND(ISNUMBER(I15),I15&lt;=TODAY()),TODAY()-I15,"")</f>
        <v/>
      </c>
      <c r="K15" s="5"/>
      <c r="L15" s="5"/>
      <c r="M15" s="5"/>
    </row>
    <row r="16" customFormat="false" ht="15" hidden="false" customHeight="false" outlineLevel="0" collapsed="false">
      <c r="A16" s="5"/>
      <c r="B16" s="5"/>
      <c r="C16" s="19"/>
      <c r="D16" s="20" t="str">
        <f aca="false">IF(B16="","",IFERROR(INDEX(Listino!$C$5:$C$7,MATCH(B16,Listino!$A$5:$A$7,0)),""))</f>
        <v/>
      </c>
      <c r="E16" s="7" t="str">
        <f aca="false">IF(B16="","",IFERROR(INDEX(Listino!$E$5:$E$7,MATCH(B16,Listino!$A$5:$A$7,0)),""))</f>
        <v/>
      </c>
      <c r="F16" s="5"/>
      <c r="G16" s="25" t="str">
        <f aca="false">IF(OR(COUNT(F16)=0,COUNT(E16)=0),"",IF(E16=0,"",F16/E16))</f>
        <v/>
      </c>
      <c r="H16" s="5"/>
      <c r="I16" s="19"/>
      <c r="J16" s="4" t="str">
        <f aca="true">IF(AND(ISNUMBER(I16),I16&lt;=TODAY()),TODAY()-I16,"")</f>
        <v/>
      </c>
      <c r="K16" s="5"/>
      <c r="L16" s="5"/>
      <c r="M16" s="5"/>
    </row>
    <row r="17" customFormat="false" ht="15" hidden="false" customHeight="false" outlineLevel="0" collapsed="false">
      <c r="A17" s="5"/>
      <c r="B17" s="5"/>
      <c r="C17" s="19"/>
      <c r="D17" s="20" t="str">
        <f aca="false">IF(B17="","",IFERROR(INDEX(Listino!$C$5:$C$7,MATCH(B17,Listino!$A$5:$A$7,0)),""))</f>
        <v/>
      </c>
      <c r="E17" s="7" t="str">
        <f aca="false">IF(B17="","",IFERROR(INDEX(Listino!$E$5:$E$7,MATCH(B17,Listino!$A$5:$A$7,0)),""))</f>
        <v/>
      </c>
      <c r="F17" s="5"/>
      <c r="G17" s="25" t="str">
        <f aca="false">IF(OR(COUNT(F17)=0,COUNT(E17)=0),"",IF(E17=0,"",F17/E17))</f>
        <v/>
      </c>
      <c r="H17" s="5"/>
      <c r="I17" s="19"/>
      <c r="J17" s="4" t="str">
        <f aca="true">IF(AND(ISNUMBER(I17),I17&lt;=TODAY()),TODAY()-I17,"")</f>
        <v/>
      </c>
      <c r="K17" s="5"/>
      <c r="L17" s="5"/>
      <c r="M17" s="5"/>
    </row>
    <row r="18" customFormat="false" ht="15" hidden="false" customHeight="false" outlineLevel="0" collapsed="false">
      <c r="A18" s="5"/>
      <c r="B18" s="5"/>
      <c r="C18" s="19"/>
      <c r="D18" s="20" t="str">
        <f aca="false">IF(B18="","",IFERROR(INDEX(Listino!$C$5:$C$7,MATCH(B18,Listino!$A$5:$A$7,0)),""))</f>
        <v/>
      </c>
      <c r="E18" s="7" t="str">
        <f aca="false">IF(B18="","",IFERROR(INDEX(Listino!$E$5:$E$7,MATCH(B18,Listino!$A$5:$A$7,0)),""))</f>
        <v/>
      </c>
      <c r="F18" s="5"/>
      <c r="G18" s="25" t="str">
        <f aca="false">IF(OR(COUNT(F18)=0,COUNT(E18)=0),"",IF(E18=0,"",F18/E18))</f>
        <v/>
      </c>
      <c r="H18" s="5"/>
      <c r="I18" s="19"/>
      <c r="J18" s="4" t="str">
        <f aca="true">IF(AND(ISNUMBER(I18),I18&lt;=TODAY()),TODAY()-I18,"")</f>
        <v/>
      </c>
      <c r="K18" s="5"/>
      <c r="L18" s="5"/>
      <c r="M18" s="5"/>
    </row>
    <row r="19" customFormat="false" ht="15" hidden="false" customHeight="false" outlineLevel="0" collapsed="false">
      <c r="A19" s="5"/>
      <c r="B19" s="5"/>
      <c r="C19" s="19"/>
      <c r="D19" s="20" t="str">
        <f aca="false">IF(B19="","",IFERROR(INDEX(Listino!$C$5:$C$7,MATCH(B19,Listino!$A$5:$A$7,0)),""))</f>
        <v/>
      </c>
      <c r="E19" s="7" t="str">
        <f aca="false">IF(B19="","",IFERROR(INDEX(Listino!$E$5:$E$7,MATCH(B19,Listino!$A$5:$A$7,0)),""))</f>
        <v/>
      </c>
      <c r="F19" s="5"/>
      <c r="G19" s="25" t="str">
        <f aca="false">IF(OR(COUNT(F19)=0,COUNT(E19)=0),"",IF(E19=0,"",F19/E19))</f>
        <v/>
      </c>
      <c r="H19" s="5"/>
      <c r="I19" s="19"/>
      <c r="J19" s="4" t="str">
        <f aca="true">IF(AND(ISNUMBER(I19),I19&lt;=TODAY()),TODAY()-I19,"")</f>
        <v/>
      </c>
      <c r="K19" s="5"/>
      <c r="L19" s="5"/>
      <c r="M19" s="5"/>
    </row>
    <row r="20" customFormat="false" ht="15" hidden="false" customHeight="false" outlineLevel="0" collapsed="false">
      <c r="A20" s="5"/>
      <c r="B20" s="5"/>
      <c r="C20" s="19"/>
      <c r="D20" s="20" t="str">
        <f aca="false">IF(B20="","",IFERROR(INDEX(Listino!$C$5:$C$7,MATCH(B20,Listino!$A$5:$A$7,0)),""))</f>
        <v/>
      </c>
      <c r="E20" s="7" t="str">
        <f aca="false">IF(B20="","",IFERROR(INDEX(Listino!$E$5:$E$7,MATCH(B20,Listino!$A$5:$A$7,0)),""))</f>
        <v/>
      </c>
      <c r="F20" s="5"/>
      <c r="G20" s="25" t="str">
        <f aca="false">IF(OR(COUNT(F20)=0,COUNT(E20)=0),"",IF(E20=0,"",F20/E20))</f>
        <v/>
      </c>
      <c r="H20" s="5"/>
      <c r="I20" s="19"/>
      <c r="J20" s="4" t="str">
        <f aca="true">IF(AND(ISNUMBER(I20),I20&lt;=TODAY()),TODAY()-I20,"")</f>
        <v/>
      </c>
      <c r="K20" s="5"/>
      <c r="L20" s="5"/>
      <c r="M20" s="5"/>
    </row>
    <row r="21" customFormat="false" ht="15" hidden="false" customHeight="false" outlineLevel="0" collapsed="false">
      <c r="A21" s="5"/>
      <c r="B21" s="5"/>
      <c r="C21" s="19"/>
      <c r="D21" s="20" t="str">
        <f aca="false">IF(B21="","",IFERROR(INDEX(Listino!$C$5:$C$7,MATCH(B21,Listino!$A$5:$A$7,0)),""))</f>
        <v/>
      </c>
      <c r="E21" s="7" t="str">
        <f aca="false">IF(B21="","",IFERROR(INDEX(Listino!$E$5:$E$7,MATCH(B21,Listino!$A$5:$A$7,0)),""))</f>
        <v/>
      </c>
      <c r="F21" s="5"/>
      <c r="G21" s="25" t="str">
        <f aca="false">IF(OR(COUNT(F21)=0,COUNT(E21)=0),"",IF(E21=0,"",F21/E21))</f>
        <v/>
      </c>
      <c r="H21" s="5"/>
      <c r="I21" s="19"/>
      <c r="J21" s="4" t="str">
        <f aca="true">IF(AND(ISNUMBER(I21),I21&lt;=TODAY()),TODAY()-I21,"")</f>
        <v/>
      </c>
      <c r="K21" s="5"/>
      <c r="L21" s="5"/>
      <c r="M21" s="5"/>
    </row>
    <row r="22" customFormat="false" ht="15" hidden="false" customHeight="false" outlineLevel="0" collapsed="false">
      <c r="A22" s="5"/>
      <c r="B22" s="5"/>
      <c r="C22" s="19"/>
      <c r="D22" s="20" t="str">
        <f aca="false">IF(B22="","",IFERROR(INDEX(Listino!$C$5:$C$7,MATCH(B22,Listino!$A$5:$A$7,0)),""))</f>
        <v/>
      </c>
      <c r="E22" s="7" t="str">
        <f aca="false">IF(B22="","",IFERROR(INDEX(Listino!$E$5:$E$7,MATCH(B22,Listino!$A$5:$A$7,0)),""))</f>
        <v/>
      </c>
      <c r="F22" s="5"/>
      <c r="G22" s="25" t="str">
        <f aca="false">IF(OR(COUNT(F22)=0,COUNT(E22)=0),"",IF(E22=0,"",F22/E22))</f>
        <v/>
      </c>
      <c r="H22" s="5"/>
      <c r="I22" s="19"/>
      <c r="J22" s="4" t="str">
        <f aca="true">IF(AND(ISNUMBER(I22),I22&lt;=TODAY()),TODAY()-I22,"")</f>
        <v/>
      </c>
      <c r="K22" s="5"/>
      <c r="L22" s="5"/>
      <c r="M22" s="5"/>
    </row>
    <row r="23" customFormat="false" ht="15" hidden="false" customHeight="false" outlineLevel="0" collapsed="false">
      <c r="A23" s="5"/>
      <c r="B23" s="5"/>
      <c r="C23" s="19"/>
      <c r="D23" s="20" t="str">
        <f aca="false">IF(B23="","",IFERROR(INDEX(Listino!$C$5:$C$7,MATCH(B23,Listino!$A$5:$A$7,0)),""))</f>
        <v/>
      </c>
      <c r="E23" s="7" t="str">
        <f aca="false">IF(B23="","",IFERROR(INDEX(Listino!$E$5:$E$7,MATCH(B23,Listino!$A$5:$A$7,0)),""))</f>
        <v/>
      </c>
      <c r="F23" s="5"/>
      <c r="G23" s="25" t="str">
        <f aca="false">IF(OR(COUNT(F23)=0,COUNT(E23)=0),"",IF(E23=0,"",F23/E23))</f>
        <v/>
      </c>
      <c r="H23" s="5"/>
      <c r="I23" s="19"/>
      <c r="J23" s="4" t="str">
        <f aca="true">IF(AND(ISNUMBER(I23),I23&lt;=TODAY()),TODAY()-I23,"")</f>
        <v/>
      </c>
      <c r="K23" s="5"/>
      <c r="L23" s="5"/>
      <c r="M23" s="5"/>
    </row>
    <row r="24" customFormat="false" ht="15" hidden="false" customHeight="false" outlineLevel="0" collapsed="false">
      <c r="A24" s="5"/>
      <c r="B24" s="5"/>
      <c r="C24" s="19"/>
      <c r="D24" s="20" t="str">
        <f aca="false">IF(B24="","",IFERROR(INDEX(Listino!$C$5:$C$7,MATCH(B24,Listino!$A$5:$A$7,0)),""))</f>
        <v/>
      </c>
      <c r="E24" s="7" t="str">
        <f aca="false">IF(B24="","",IFERROR(INDEX(Listino!$E$5:$E$7,MATCH(B24,Listino!$A$5:$A$7,0)),""))</f>
        <v/>
      </c>
      <c r="F24" s="5"/>
      <c r="G24" s="25" t="str">
        <f aca="false">IF(OR(COUNT(F24)=0,COUNT(E24)=0),"",IF(E24=0,"",F24/E24))</f>
        <v/>
      </c>
      <c r="H24" s="5"/>
      <c r="I24" s="19"/>
      <c r="J24" s="4" t="str">
        <f aca="true">IF(AND(ISNUMBER(I24),I24&lt;=TODAY()),TODAY()-I24,"")</f>
        <v/>
      </c>
      <c r="K24" s="5"/>
      <c r="L24" s="5"/>
      <c r="M24" s="5"/>
    </row>
    <row r="25" customFormat="false" ht="15" hidden="false" customHeight="false" outlineLevel="0" collapsed="false">
      <c r="A25" s="5"/>
      <c r="B25" s="5"/>
      <c r="C25" s="19"/>
      <c r="D25" s="20" t="str">
        <f aca="false">IF(B25="","",IFERROR(INDEX(Listino!$C$5:$C$7,MATCH(B25,Listino!$A$5:$A$7,0)),""))</f>
        <v/>
      </c>
      <c r="E25" s="7" t="str">
        <f aca="false">IF(B25="","",IFERROR(INDEX(Listino!$E$5:$E$7,MATCH(B25,Listino!$A$5:$A$7,0)),""))</f>
        <v/>
      </c>
      <c r="F25" s="5"/>
      <c r="G25" s="25" t="str">
        <f aca="false">IF(OR(COUNT(F25)=0,COUNT(E25)=0),"",IF(E25=0,"",F25/E25))</f>
        <v/>
      </c>
      <c r="H25" s="5"/>
      <c r="I25" s="19"/>
      <c r="J25" s="4" t="str">
        <f aca="true">IF(AND(ISNUMBER(I25),I25&lt;=TODAY()),TODAY()-I25,"")</f>
        <v/>
      </c>
      <c r="K25" s="5"/>
      <c r="L25" s="5"/>
      <c r="M25" s="5"/>
    </row>
    <row r="26" customFormat="false" ht="15" hidden="false" customHeight="false" outlineLevel="0" collapsed="false">
      <c r="A26" s="5"/>
      <c r="B26" s="5"/>
      <c r="C26" s="19"/>
      <c r="D26" s="20" t="str">
        <f aca="false">IF(B26="","",IFERROR(INDEX(Listino!$C$5:$C$7,MATCH(B26,Listino!$A$5:$A$7,0)),""))</f>
        <v/>
      </c>
      <c r="E26" s="7" t="str">
        <f aca="false">IF(B26="","",IFERROR(INDEX(Listino!$E$5:$E$7,MATCH(B26,Listino!$A$5:$A$7,0)),""))</f>
        <v/>
      </c>
      <c r="F26" s="5"/>
      <c r="G26" s="25" t="str">
        <f aca="false">IF(OR(COUNT(F26)=0,COUNT(E26)=0),"",IF(E26=0,"",F26/E26))</f>
        <v/>
      </c>
      <c r="H26" s="5"/>
      <c r="I26" s="19"/>
      <c r="J26" s="4" t="str">
        <f aca="true">IF(AND(ISNUMBER(I26),I26&lt;=TODAY()),TODAY()-I26,"")</f>
        <v/>
      </c>
      <c r="K26" s="5"/>
      <c r="L26" s="5"/>
      <c r="M26" s="5"/>
    </row>
    <row r="27" customFormat="false" ht="15" hidden="false" customHeight="false" outlineLevel="0" collapsed="false">
      <c r="A27" s="5"/>
      <c r="B27" s="5"/>
      <c r="C27" s="19"/>
      <c r="D27" s="20" t="str">
        <f aca="false">IF(B27="","",IFERROR(INDEX(Listino!$C$5:$C$7,MATCH(B27,Listino!$A$5:$A$7,0)),""))</f>
        <v/>
      </c>
      <c r="E27" s="7" t="str">
        <f aca="false">IF(B27="","",IFERROR(INDEX(Listino!$E$5:$E$7,MATCH(B27,Listino!$A$5:$A$7,0)),""))</f>
        <v/>
      </c>
      <c r="F27" s="5"/>
      <c r="G27" s="25" t="str">
        <f aca="false">IF(OR(COUNT(F27)=0,COUNT(E27)=0),"",IF(E27=0,"",F27/E27))</f>
        <v/>
      </c>
      <c r="H27" s="5"/>
      <c r="I27" s="19"/>
      <c r="J27" s="4" t="str">
        <f aca="true">IF(AND(ISNUMBER(I27),I27&lt;=TODAY()),TODAY()-I27,"")</f>
        <v/>
      </c>
      <c r="K27" s="5"/>
      <c r="L27" s="5"/>
      <c r="M27" s="5"/>
    </row>
    <row r="28" customFormat="false" ht="15" hidden="false" customHeight="false" outlineLevel="0" collapsed="false">
      <c r="A28" s="5"/>
      <c r="B28" s="5"/>
      <c r="C28" s="19"/>
      <c r="D28" s="20" t="str">
        <f aca="false">IF(B28="","",IFERROR(INDEX(Listino!$C$5:$C$7,MATCH(B28,Listino!$A$5:$A$7,0)),""))</f>
        <v/>
      </c>
      <c r="E28" s="7" t="str">
        <f aca="false">IF(B28="","",IFERROR(INDEX(Listino!$E$5:$E$7,MATCH(B28,Listino!$A$5:$A$7,0)),""))</f>
        <v/>
      </c>
      <c r="F28" s="5"/>
      <c r="G28" s="25" t="str">
        <f aca="false">IF(OR(COUNT(F28)=0,COUNT(E28)=0),"",IF(E28=0,"",F28/E28))</f>
        <v/>
      </c>
      <c r="H28" s="5"/>
      <c r="I28" s="19"/>
      <c r="J28" s="4" t="str">
        <f aca="true">IF(AND(ISNUMBER(I28),I28&lt;=TODAY()),TODAY()-I28,"")</f>
        <v/>
      </c>
      <c r="K28" s="5"/>
      <c r="L28" s="5"/>
      <c r="M28" s="5"/>
    </row>
    <row r="29" customFormat="false" ht="15" hidden="false" customHeight="false" outlineLevel="0" collapsed="false">
      <c r="A29" s="5"/>
      <c r="B29" s="5"/>
      <c r="C29" s="19"/>
      <c r="D29" s="20" t="str">
        <f aca="false">IF(B29="","",IFERROR(INDEX(Listino!$C$5:$C$7,MATCH(B29,Listino!$A$5:$A$7,0)),""))</f>
        <v/>
      </c>
      <c r="E29" s="7" t="str">
        <f aca="false">IF(B29="","",IFERROR(INDEX(Listino!$E$5:$E$7,MATCH(B29,Listino!$A$5:$A$7,0)),""))</f>
        <v/>
      </c>
      <c r="F29" s="5"/>
      <c r="G29" s="25" t="str">
        <f aca="false">IF(OR(COUNT(F29)=0,COUNT(E29)=0),"",IF(E29=0,"",F29/E29))</f>
        <v/>
      </c>
      <c r="H29" s="5"/>
      <c r="I29" s="19"/>
      <c r="J29" s="4" t="str">
        <f aca="true">IF(AND(ISNUMBER(I29),I29&lt;=TODAY()),TODAY()-I29,"")</f>
        <v/>
      </c>
      <c r="K29" s="5"/>
      <c r="L29" s="5"/>
      <c r="M29" s="5"/>
    </row>
    <row r="30" customFormat="false" ht="15" hidden="false" customHeight="false" outlineLevel="0" collapsed="false">
      <c r="A30" s="5"/>
      <c r="B30" s="5"/>
      <c r="C30" s="19"/>
      <c r="D30" s="20" t="str">
        <f aca="false">IF(B30="","",IFERROR(INDEX(Listino!$C$5:$C$7,MATCH(B30,Listino!$A$5:$A$7,0)),""))</f>
        <v/>
      </c>
      <c r="E30" s="7" t="str">
        <f aca="false">IF(B30="","",IFERROR(INDEX(Listino!$E$5:$E$7,MATCH(B30,Listino!$A$5:$A$7,0)),""))</f>
        <v/>
      </c>
      <c r="F30" s="5"/>
      <c r="G30" s="25" t="str">
        <f aca="false">IF(OR(COUNT(F30)=0,COUNT(E30)=0),"",IF(E30=0,"",F30/E30))</f>
        <v/>
      </c>
      <c r="H30" s="5"/>
      <c r="I30" s="19"/>
      <c r="J30" s="4" t="str">
        <f aca="true">IF(AND(ISNUMBER(I30),I30&lt;=TODAY()),TODAY()-I30,"")</f>
        <v/>
      </c>
      <c r="K30" s="5"/>
      <c r="L30" s="5"/>
      <c r="M30" s="5"/>
    </row>
    <row r="31" customFormat="false" ht="15" hidden="false" customHeight="false" outlineLevel="0" collapsed="false">
      <c r="A31" s="5"/>
      <c r="B31" s="5"/>
      <c r="C31" s="19"/>
      <c r="D31" s="20" t="str">
        <f aca="false">IF(B31="","",IFERROR(INDEX(Listino!$C$5:$C$7,MATCH(B31,Listino!$A$5:$A$7,0)),""))</f>
        <v/>
      </c>
      <c r="E31" s="7" t="str">
        <f aca="false">IF(B31="","",IFERROR(INDEX(Listino!$E$5:$E$7,MATCH(B31,Listino!$A$5:$A$7,0)),""))</f>
        <v/>
      </c>
      <c r="F31" s="5"/>
      <c r="G31" s="25" t="str">
        <f aca="false">IF(OR(COUNT(F31)=0,COUNT(E31)=0),"",IF(E31=0,"",F31/E31))</f>
        <v/>
      </c>
      <c r="H31" s="5"/>
      <c r="I31" s="19"/>
      <c r="J31" s="4" t="str">
        <f aca="true">IF(AND(ISNUMBER(I31),I31&lt;=TODAY()),TODAY()-I31,"")</f>
        <v/>
      </c>
      <c r="K31" s="5"/>
      <c r="L31" s="5"/>
      <c r="M31" s="5"/>
    </row>
    <row r="32" customFormat="false" ht="15" hidden="false" customHeight="false" outlineLevel="0" collapsed="false">
      <c r="A32" s="5"/>
      <c r="B32" s="5"/>
      <c r="C32" s="19"/>
      <c r="D32" s="20" t="str">
        <f aca="false">IF(B32="","",IFERROR(INDEX(Listino!$C$5:$C$7,MATCH(B32,Listino!$A$5:$A$7,0)),""))</f>
        <v/>
      </c>
      <c r="E32" s="7" t="str">
        <f aca="false">IF(B32="","",IFERROR(INDEX(Listino!$E$5:$E$7,MATCH(B32,Listino!$A$5:$A$7,0)),""))</f>
        <v/>
      </c>
      <c r="F32" s="5"/>
      <c r="G32" s="25" t="str">
        <f aca="false">IF(OR(COUNT(F32)=0,COUNT(E32)=0),"",IF(E32=0,"",F32/E32))</f>
        <v/>
      </c>
      <c r="H32" s="5"/>
      <c r="I32" s="19"/>
      <c r="J32" s="4" t="str">
        <f aca="true">IF(AND(ISNUMBER(I32),I32&lt;=TODAY()),TODAY()-I32,"")</f>
        <v/>
      </c>
      <c r="K32" s="5"/>
      <c r="L32" s="5"/>
      <c r="M32" s="5"/>
    </row>
    <row r="33" customFormat="false" ht="15" hidden="false" customHeight="false" outlineLevel="0" collapsed="false">
      <c r="A33" s="5"/>
      <c r="B33" s="5"/>
      <c r="C33" s="19"/>
      <c r="D33" s="20" t="str">
        <f aca="false">IF(B33="","",IFERROR(INDEX(Listino!$C$5:$C$7,MATCH(B33,Listino!$A$5:$A$7,0)),""))</f>
        <v/>
      </c>
      <c r="E33" s="7" t="str">
        <f aca="false">IF(B33="","",IFERROR(INDEX(Listino!$E$5:$E$7,MATCH(B33,Listino!$A$5:$A$7,0)),""))</f>
        <v/>
      </c>
      <c r="F33" s="5"/>
      <c r="G33" s="25" t="str">
        <f aca="false">IF(OR(COUNT(F33)=0,COUNT(E33)=0),"",IF(E33=0,"",F33/E33))</f>
        <v/>
      </c>
      <c r="H33" s="5"/>
      <c r="I33" s="19"/>
      <c r="J33" s="4" t="str">
        <f aca="true">IF(AND(ISNUMBER(I33),I33&lt;=TODAY()),TODAY()-I33,"")</f>
        <v/>
      </c>
      <c r="K33" s="5"/>
      <c r="L33" s="5"/>
      <c r="M33" s="5"/>
    </row>
    <row r="34" customFormat="false" ht="15" hidden="false" customHeight="false" outlineLevel="0" collapsed="false">
      <c r="A34" s="5"/>
      <c r="B34" s="5"/>
      <c r="C34" s="19"/>
      <c r="D34" s="20" t="str">
        <f aca="false">IF(B34="","",IFERROR(INDEX(Listino!$C$5:$C$7,MATCH(B34,Listino!$A$5:$A$7,0)),""))</f>
        <v/>
      </c>
      <c r="E34" s="7" t="str">
        <f aca="false">IF(B34="","",IFERROR(INDEX(Listino!$E$5:$E$7,MATCH(B34,Listino!$A$5:$A$7,0)),""))</f>
        <v/>
      </c>
      <c r="F34" s="5"/>
      <c r="G34" s="25" t="str">
        <f aca="false">IF(OR(COUNT(F34)=0,COUNT(E34)=0),"",IF(E34=0,"",F34/E34))</f>
        <v/>
      </c>
      <c r="H34" s="5"/>
      <c r="I34" s="19"/>
      <c r="J34" s="4" t="str">
        <f aca="true">IF(AND(ISNUMBER(I34),I34&lt;=TODAY()),TODAY()-I34,"")</f>
        <v/>
      </c>
      <c r="K34" s="5"/>
      <c r="L34" s="5"/>
      <c r="M34" s="5"/>
    </row>
    <row r="35" customFormat="false" ht="15" hidden="false" customHeight="false" outlineLevel="0" collapsed="false">
      <c r="A35" s="5"/>
      <c r="B35" s="5"/>
      <c r="C35" s="19"/>
      <c r="D35" s="20" t="str">
        <f aca="false">IF(B35="","",IFERROR(INDEX(Listino!$C$5:$C$7,MATCH(B35,Listino!$A$5:$A$7,0)),""))</f>
        <v/>
      </c>
      <c r="E35" s="7" t="str">
        <f aca="false">IF(B35="","",IFERROR(INDEX(Listino!$E$5:$E$7,MATCH(B35,Listino!$A$5:$A$7,0)),""))</f>
        <v/>
      </c>
      <c r="F35" s="5"/>
      <c r="G35" s="25" t="str">
        <f aca="false">IF(OR(COUNT(F35)=0,COUNT(E35)=0),"",IF(E35=0,"",F35/E35))</f>
        <v/>
      </c>
      <c r="H35" s="5"/>
      <c r="I35" s="19"/>
      <c r="J35" s="4" t="str">
        <f aca="true">IF(AND(ISNUMBER(I35),I35&lt;=TODAY()),TODAY()-I35,"")</f>
        <v/>
      </c>
      <c r="K35" s="5"/>
      <c r="L35" s="5"/>
      <c r="M35" s="5"/>
    </row>
    <row r="36" customFormat="false" ht="15" hidden="false" customHeight="false" outlineLevel="0" collapsed="false">
      <c r="A36" s="5"/>
      <c r="B36" s="5"/>
      <c r="C36" s="19"/>
      <c r="D36" s="20" t="str">
        <f aca="false">IF(B36="","",IFERROR(INDEX(Listino!$C$5:$C$7,MATCH(B36,Listino!$A$5:$A$7,0)),""))</f>
        <v/>
      </c>
      <c r="E36" s="7" t="str">
        <f aca="false">IF(B36="","",IFERROR(INDEX(Listino!$E$5:$E$7,MATCH(B36,Listino!$A$5:$A$7,0)),""))</f>
        <v/>
      </c>
      <c r="F36" s="5"/>
      <c r="G36" s="25" t="str">
        <f aca="false">IF(OR(COUNT(F36)=0,COUNT(E36)=0),"",IF(E36=0,"",F36/E36))</f>
        <v/>
      </c>
      <c r="H36" s="5"/>
      <c r="I36" s="19"/>
      <c r="J36" s="4" t="str">
        <f aca="true">IF(AND(ISNUMBER(I36),I36&lt;=TODAY()),TODAY()-I36,"")</f>
        <v/>
      </c>
      <c r="K36" s="5"/>
      <c r="L36" s="5"/>
      <c r="M36" s="5"/>
    </row>
    <row r="37" customFormat="false" ht="15" hidden="false" customHeight="false" outlineLevel="0" collapsed="false">
      <c r="A37" s="5"/>
      <c r="B37" s="5"/>
      <c r="C37" s="19"/>
      <c r="D37" s="20" t="str">
        <f aca="false">IF(B37="","",IFERROR(INDEX(Listino!$C$5:$C$7,MATCH(B37,Listino!$A$5:$A$7,0)),""))</f>
        <v/>
      </c>
      <c r="E37" s="7" t="str">
        <f aca="false">IF(B37="","",IFERROR(INDEX(Listino!$E$5:$E$7,MATCH(B37,Listino!$A$5:$A$7,0)),""))</f>
        <v/>
      </c>
      <c r="F37" s="5"/>
      <c r="G37" s="25" t="str">
        <f aca="false">IF(OR(COUNT(F37)=0,COUNT(E37)=0),"",IF(E37=0,"",F37/E37))</f>
        <v/>
      </c>
      <c r="H37" s="5"/>
      <c r="I37" s="19"/>
      <c r="J37" s="4" t="str">
        <f aca="true">IF(AND(ISNUMBER(I37),I37&lt;=TODAY()),TODAY()-I37,"")</f>
        <v/>
      </c>
      <c r="K37" s="5"/>
      <c r="L37" s="5"/>
      <c r="M37" s="5"/>
    </row>
    <row r="38" customFormat="false" ht="15" hidden="false" customHeight="false" outlineLevel="0" collapsed="false">
      <c r="A38" s="5"/>
      <c r="B38" s="5"/>
      <c r="C38" s="19"/>
      <c r="D38" s="20" t="str">
        <f aca="false">IF(B38="","",IFERROR(INDEX(Listino!$C$5:$C$7,MATCH(B38,Listino!$A$5:$A$7,0)),""))</f>
        <v/>
      </c>
      <c r="E38" s="7" t="str">
        <f aca="false">IF(B38="","",IFERROR(INDEX(Listino!$E$5:$E$7,MATCH(B38,Listino!$A$5:$A$7,0)),""))</f>
        <v/>
      </c>
      <c r="F38" s="5"/>
      <c r="G38" s="25" t="str">
        <f aca="false">IF(OR(COUNT(F38)=0,COUNT(E38)=0),"",IF(E38=0,"",F38/E38))</f>
        <v/>
      </c>
      <c r="H38" s="5"/>
      <c r="I38" s="19"/>
      <c r="J38" s="4" t="str">
        <f aca="true">IF(AND(ISNUMBER(I38),I38&lt;=TODAY()),TODAY()-I38,"")</f>
        <v/>
      </c>
      <c r="K38" s="5"/>
      <c r="L38" s="5"/>
      <c r="M38" s="5"/>
    </row>
    <row r="39" customFormat="false" ht="15" hidden="false" customHeight="false" outlineLevel="0" collapsed="false">
      <c r="A39" s="5"/>
      <c r="B39" s="5"/>
      <c r="C39" s="19"/>
      <c r="D39" s="20" t="str">
        <f aca="false">IF(B39="","",IFERROR(INDEX(Listino!$C$5:$C$7,MATCH(B39,Listino!$A$5:$A$7,0)),""))</f>
        <v/>
      </c>
      <c r="E39" s="7" t="str">
        <f aca="false">IF(B39="","",IFERROR(INDEX(Listino!$E$5:$E$7,MATCH(B39,Listino!$A$5:$A$7,0)),""))</f>
        <v/>
      </c>
      <c r="F39" s="5"/>
      <c r="G39" s="25" t="str">
        <f aca="false">IF(OR(COUNT(F39)=0,COUNT(E39)=0),"",IF(E39=0,"",F39/E39))</f>
        <v/>
      </c>
      <c r="H39" s="5"/>
      <c r="I39" s="19"/>
      <c r="J39" s="4" t="str">
        <f aca="true">IF(AND(ISNUMBER(I39),I39&lt;=TODAY()),TODAY()-I39,"")</f>
        <v/>
      </c>
      <c r="K39" s="5"/>
      <c r="L39" s="5"/>
      <c r="M39" s="5"/>
    </row>
    <row r="40" customFormat="false" ht="15" hidden="false" customHeight="false" outlineLevel="0" collapsed="false">
      <c r="A40" s="5"/>
      <c r="B40" s="5"/>
      <c r="C40" s="19"/>
      <c r="D40" s="20" t="str">
        <f aca="false">IF(B40="","",IFERROR(INDEX(Listino!$C$5:$C$7,MATCH(B40,Listino!$A$5:$A$7,0)),""))</f>
        <v/>
      </c>
      <c r="E40" s="7" t="str">
        <f aca="false">IF(B40="","",IFERROR(INDEX(Listino!$E$5:$E$7,MATCH(B40,Listino!$A$5:$A$7,0)),""))</f>
        <v/>
      </c>
      <c r="F40" s="5"/>
      <c r="G40" s="25" t="str">
        <f aca="false">IF(OR(COUNT(F40)=0,COUNT(E40)=0),"",IF(E40=0,"",F40/E40))</f>
        <v/>
      </c>
      <c r="H40" s="5"/>
      <c r="I40" s="19"/>
      <c r="J40" s="4" t="str">
        <f aca="true">IF(AND(ISNUMBER(I40),I40&lt;=TODAY()),TODAY()-I40,"")</f>
        <v/>
      </c>
      <c r="K40" s="5"/>
      <c r="L40" s="5"/>
      <c r="M40" s="5"/>
    </row>
    <row r="41" customFormat="false" ht="15" hidden="false" customHeight="false" outlineLevel="0" collapsed="false">
      <c r="A41" s="5"/>
      <c r="B41" s="5"/>
      <c r="C41" s="19"/>
      <c r="D41" s="20" t="str">
        <f aca="false">IF(B41="","",IFERROR(INDEX(Listino!$C$5:$C$7,MATCH(B41,Listino!$A$5:$A$7,0)),""))</f>
        <v/>
      </c>
      <c r="E41" s="7" t="str">
        <f aca="false">IF(B41="","",IFERROR(INDEX(Listino!$E$5:$E$7,MATCH(B41,Listino!$A$5:$A$7,0)),""))</f>
        <v/>
      </c>
      <c r="F41" s="5"/>
      <c r="G41" s="25" t="str">
        <f aca="false">IF(OR(COUNT(F41)=0,COUNT(E41)=0),"",IF(E41=0,"",F41/E41))</f>
        <v/>
      </c>
      <c r="H41" s="5"/>
      <c r="I41" s="19"/>
      <c r="J41" s="4" t="str">
        <f aca="true">IF(AND(ISNUMBER(I41),I41&lt;=TODAY()),TODAY()-I41,"")</f>
        <v/>
      </c>
      <c r="K41" s="5"/>
      <c r="L41" s="5"/>
      <c r="M41" s="5"/>
    </row>
    <row r="42" customFormat="false" ht="15" hidden="false" customHeight="false" outlineLevel="0" collapsed="false">
      <c r="A42" s="5"/>
      <c r="B42" s="5"/>
      <c r="C42" s="19"/>
      <c r="D42" s="20" t="str">
        <f aca="false">IF(B42="","",IFERROR(INDEX(Listino!$C$5:$C$7,MATCH(B42,Listino!$A$5:$A$7,0)),""))</f>
        <v/>
      </c>
      <c r="E42" s="7" t="str">
        <f aca="false">IF(B42="","",IFERROR(INDEX(Listino!$E$5:$E$7,MATCH(B42,Listino!$A$5:$A$7,0)),""))</f>
        <v/>
      </c>
      <c r="F42" s="5"/>
      <c r="G42" s="25" t="str">
        <f aca="false">IF(OR(COUNT(F42)=0,COUNT(E42)=0),"",IF(E42=0,"",F42/E42))</f>
        <v/>
      </c>
      <c r="H42" s="5"/>
      <c r="I42" s="19"/>
      <c r="J42" s="4" t="str">
        <f aca="true">IF(AND(ISNUMBER(I42),I42&lt;=TODAY()),TODAY()-I42,"")</f>
        <v/>
      </c>
      <c r="K42" s="5"/>
      <c r="L42" s="5"/>
      <c r="M42" s="5"/>
    </row>
    <row r="43" customFormat="false" ht="15" hidden="false" customHeight="false" outlineLevel="0" collapsed="false">
      <c r="A43" s="5"/>
      <c r="B43" s="5"/>
      <c r="C43" s="19"/>
      <c r="D43" s="20" t="str">
        <f aca="false">IF(B43="","",IFERROR(INDEX(Listino!$C$5:$C$7,MATCH(B43,Listino!$A$5:$A$7,0)),""))</f>
        <v/>
      </c>
      <c r="E43" s="7" t="str">
        <f aca="false">IF(B43="","",IFERROR(INDEX(Listino!$E$5:$E$7,MATCH(B43,Listino!$A$5:$A$7,0)),""))</f>
        <v/>
      </c>
      <c r="F43" s="5"/>
      <c r="G43" s="25" t="str">
        <f aca="false">IF(OR(COUNT(F43)=0,COUNT(E43)=0),"",IF(E43=0,"",F43/E43))</f>
        <v/>
      </c>
      <c r="H43" s="5"/>
      <c r="I43" s="19"/>
      <c r="J43" s="4" t="str">
        <f aca="true">IF(AND(ISNUMBER(I43),I43&lt;=TODAY()),TODAY()-I43,"")</f>
        <v/>
      </c>
      <c r="K43" s="5"/>
      <c r="L43" s="5"/>
      <c r="M43" s="5"/>
    </row>
    <row r="44" customFormat="false" ht="15" hidden="false" customHeight="false" outlineLevel="0" collapsed="false">
      <c r="A44" s="5"/>
      <c r="B44" s="5"/>
      <c r="C44" s="19"/>
      <c r="D44" s="20" t="str">
        <f aca="false">IF(B44="","",IFERROR(INDEX(Listino!$C$5:$C$7,MATCH(B44,Listino!$A$5:$A$7,0)),""))</f>
        <v/>
      </c>
      <c r="E44" s="7" t="str">
        <f aca="false">IF(B44="","",IFERROR(INDEX(Listino!$E$5:$E$7,MATCH(B44,Listino!$A$5:$A$7,0)),""))</f>
        <v/>
      </c>
      <c r="F44" s="5"/>
      <c r="G44" s="25" t="str">
        <f aca="false">IF(OR(COUNT(F44)=0,COUNT(E44)=0),"",IF(E44=0,"",F44/E44))</f>
        <v/>
      </c>
      <c r="H44" s="5"/>
      <c r="I44" s="19"/>
      <c r="J44" s="4" t="str">
        <f aca="true">IF(AND(ISNUMBER(I44),I44&lt;=TODAY()),TODAY()-I44,"")</f>
        <v/>
      </c>
      <c r="K44" s="5"/>
      <c r="L44" s="5"/>
      <c r="M44" s="5"/>
    </row>
  </sheetData>
  <conditionalFormatting sqref="G5:G44">
    <cfRule type="expression" priority="2" aboveAverage="0" equalAverage="0" bottom="0" percent="0" rank="0" text="" dxfId="9">
      <formula>AND(ISNUMBER(G5),G5&gt;1.1)</formula>
    </cfRule>
  </conditionalFormatting>
  <conditionalFormatting sqref="H5:H44">
    <cfRule type="expression" priority="3" aboveAverage="0" equalAverage="0" bottom="0" percent="0" rank="0" text="" dxfId="9">
      <formula>AND(ISNUMBER(H5),H5&gt;=2)</formula>
    </cfRule>
  </conditionalFormatting>
  <conditionalFormatting sqref="K5:K44">
    <cfRule type="cellIs" priority="4" operator="equal" aboveAverage="0" equalAverage="0" bottom="0" percent="0" rank="0" text="" dxfId="9">
      <formula>"alto"</formula>
    </cfRule>
  </conditionalFormatting>
  <conditionalFormatting sqref="J5:J44">
    <cfRule type="expression" priority="5" aboveAverage="0" equalAverage="0" bottom="0" percent="0" rank="0" text="" dxfId="7">
      <formula>AND(ISNUMBER(J5),J5&gt;30)</formula>
    </cfRule>
  </conditionalFormatting>
  <dataValidations count="2">
    <dataValidation allowBlank="true" errorStyle="stop" operator="between" showDropDown="false" showErrorMessage="false" showInputMessage="false" sqref="B5:B44" type="list">
      <formula1>"Start,Pro,Premium"</formula1>
      <formula2>0</formula2>
    </dataValidation>
    <dataValidation allowBlank="true" errorStyle="stop" operator="between" showDropDown="false" showErrorMessage="false" showInputMessage="false" sqref="K5:K44" type="list">
      <formula1>"basso,medio,alto"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4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1.5" hidden="false" customHeight="true" outlineLevel="0" collapsed="false">
      <c r="A4" s="9" t="s">
        <v>160</v>
      </c>
      <c r="B4" s="9" t="s">
        <v>161</v>
      </c>
      <c r="C4" s="9" t="s">
        <v>162</v>
      </c>
      <c r="D4" s="9" t="s">
        <v>163</v>
      </c>
      <c r="E4" s="9" t="s">
        <v>164</v>
      </c>
      <c r="F4" s="9" t="s">
        <v>165</v>
      </c>
      <c r="G4" s="9" t="s">
        <v>166</v>
      </c>
    </row>
    <row r="5" customFormat="false" ht="23.85" hidden="false" customHeight="false" outlineLevel="0" collapsed="false">
      <c r="A5" s="28" t="s">
        <v>167</v>
      </c>
      <c r="B5" s="28" t="s">
        <v>168</v>
      </c>
      <c r="C5" s="28" t="s">
        <v>169</v>
      </c>
      <c r="D5" s="28" t="s">
        <v>170</v>
      </c>
      <c r="E5" s="28" t="s">
        <v>171</v>
      </c>
      <c r="F5" s="28" t="s">
        <v>172</v>
      </c>
      <c r="G5" s="29" t="n">
        <v>46319</v>
      </c>
    </row>
    <row r="6" customFormat="false" ht="23.85" hidden="false" customHeight="false" outlineLevel="0" collapsed="false">
      <c r="A6" s="28" t="s">
        <v>173</v>
      </c>
      <c r="B6" s="28" t="s">
        <v>174</v>
      </c>
      <c r="C6" s="28" t="s">
        <v>175</v>
      </c>
      <c r="D6" s="28" t="s">
        <v>176</v>
      </c>
      <c r="E6" s="28" t="s">
        <v>177</v>
      </c>
      <c r="F6" s="28" t="s">
        <v>178</v>
      </c>
      <c r="G6" s="29" t="n">
        <v>46319</v>
      </c>
    </row>
    <row r="7" customFormat="false" ht="15" hidden="false" customHeight="false" outlineLevel="0" collapsed="false">
      <c r="A7" s="28" t="s">
        <v>179</v>
      </c>
      <c r="B7" s="28" t="s">
        <v>180</v>
      </c>
      <c r="C7" s="28" t="s">
        <v>181</v>
      </c>
      <c r="D7" s="28" t="s">
        <v>182</v>
      </c>
      <c r="E7" s="28" t="s">
        <v>183</v>
      </c>
      <c r="F7" s="28" t="s">
        <v>184</v>
      </c>
      <c r="G7" s="29" t="n">
        <v>46319</v>
      </c>
    </row>
    <row r="8" customFormat="false" ht="15" hidden="false" customHeight="false" outlineLevel="0" collapsed="false">
      <c r="A8" s="28" t="s">
        <v>185</v>
      </c>
      <c r="B8" s="28" t="s">
        <v>186</v>
      </c>
      <c r="C8" s="28" t="s">
        <v>187</v>
      </c>
      <c r="D8" s="28" t="s">
        <v>188</v>
      </c>
      <c r="E8" s="28" t="s">
        <v>189</v>
      </c>
      <c r="F8" s="28" t="s">
        <v>190</v>
      </c>
      <c r="G8" s="29" t="n">
        <v>46319</v>
      </c>
    </row>
    <row r="9" customFormat="false" ht="15" hidden="false" customHeight="false" outlineLevel="0" collapsed="false">
      <c r="A9" s="28" t="s">
        <v>191</v>
      </c>
      <c r="B9" s="28" t="s">
        <v>192</v>
      </c>
      <c r="C9" s="28" t="s">
        <v>193</v>
      </c>
      <c r="D9" s="28" t="s">
        <v>170</v>
      </c>
      <c r="E9" s="28" t="s">
        <v>194</v>
      </c>
      <c r="F9" s="28" t="s">
        <v>195</v>
      </c>
      <c r="G9" s="29" t="n">
        <v>46319</v>
      </c>
    </row>
    <row r="10" customFormat="false" ht="15" hidden="false" customHeight="false" outlineLevel="0" collapsed="false">
      <c r="A10" s="28" t="s">
        <v>196</v>
      </c>
      <c r="B10" s="28" t="s">
        <v>197</v>
      </c>
      <c r="C10" s="28" t="s">
        <v>193</v>
      </c>
      <c r="D10" s="28" t="s">
        <v>170</v>
      </c>
      <c r="E10" s="28" t="s">
        <v>198</v>
      </c>
      <c r="F10" s="28" t="s">
        <v>199</v>
      </c>
      <c r="G10" s="29" t="n">
        <v>46319</v>
      </c>
    </row>
    <row r="11" customFormat="false" ht="15" hidden="false" customHeight="false" outlineLevel="0" collapsed="false">
      <c r="A11" s="28" t="s">
        <v>200</v>
      </c>
      <c r="B11" s="28" t="s">
        <v>201</v>
      </c>
      <c r="C11" s="28" t="s">
        <v>193</v>
      </c>
      <c r="D11" s="28" t="s">
        <v>170</v>
      </c>
      <c r="E11" s="28" t="s">
        <v>202</v>
      </c>
      <c r="F11" s="28" t="s">
        <v>203</v>
      </c>
      <c r="G11" s="29" t="n">
        <v>46319</v>
      </c>
    </row>
    <row r="12" customFormat="false" ht="23.85" hidden="false" customHeight="false" outlineLevel="0" collapsed="false">
      <c r="A12" s="28" t="s">
        <v>204</v>
      </c>
      <c r="B12" s="28" t="s">
        <v>205</v>
      </c>
      <c r="C12" s="28" t="s">
        <v>206</v>
      </c>
      <c r="D12" s="28" t="s">
        <v>176</v>
      </c>
      <c r="E12" s="28" t="s">
        <v>207</v>
      </c>
      <c r="F12" s="28" t="s">
        <v>208</v>
      </c>
      <c r="G12" s="29" t="n">
        <v>46319</v>
      </c>
    </row>
    <row r="13" customFormat="false" ht="15" hidden="false" customHeight="false" outlineLevel="0" collapsed="false">
      <c r="A13" s="28" t="s">
        <v>209</v>
      </c>
      <c r="B13" s="28" t="s">
        <v>210</v>
      </c>
      <c r="C13" s="28" t="s">
        <v>211</v>
      </c>
      <c r="D13" s="28" t="s">
        <v>176</v>
      </c>
      <c r="E13" s="28" t="s">
        <v>212</v>
      </c>
      <c r="F13" s="28" t="s">
        <v>213</v>
      </c>
      <c r="G13" s="29" t="n">
        <v>46319</v>
      </c>
    </row>
    <row r="14" customFormat="false" ht="15" hidden="false" customHeight="false" outlineLevel="0" collapsed="false">
      <c r="A14" s="28" t="s">
        <v>214</v>
      </c>
      <c r="B14" s="28" t="s">
        <v>215</v>
      </c>
      <c r="C14" s="28" t="s">
        <v>193</v>
      </c>
      <c r="D14" s="28" t="s">
        <v>176</v>
      </c>
      <c r="E14" s="28" t="s">
        <v>216</v>
      </c>
      <c r="F14" s="28" t="s">
        <v>217</v>
      </c>
      <c r="G14" s="29" t="n">
        <v>46319</v>
      </c>
    </row>
    <row r="15" customFormat="false" ht="23.85" hidden="false" customHeight="false" outlineLevel="0" collapsed="false">
      <c r="A15" s="28" t="s">
        <v>218</v>
      </c>
      <c r="B15" s="28" t="s">
        <v>219</v>
      </c>
      <c r="C15" s="28" t="s">
        <v>220</v>
      </c>
      <c r="D15" s="28" t="s">
        <v>221</v>
      </c>
      <c r="E15" s="28" t="s">
        <v>212</v>
      </c>
      <c r="F15" s="28" t="s">
        <v>222</v>
      </c>
      <c r="G15" s="29" t="n">
        <v>46319</v>
      </c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2026-10-24T17:39:37Z</dcterms:created>
  <dc:creator>openpyxl</dc:creator>
  <dc:description/>
  <dc:language>en-US</dc:language>
  <cp:lastModifiedBy/>
  <dcterms:modified xsi:type="dcterms:W3CDTF">2026-10-24T17:39:37Z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